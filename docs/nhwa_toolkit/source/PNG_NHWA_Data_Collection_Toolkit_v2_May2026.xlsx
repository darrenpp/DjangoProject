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njoka\Downloads\"/>
    </mc:Choice>
  </mc:AlternateContent>
  <xr:revisionPtr revIDLastSave="0" documentId="13_ncr:1_{19C0D191-C88D-432D-A9E0-65A63B4EA445}" xr6:coauthVersionLast="47" xr6:coauthVersionMax="47" xr10:uidLastSave="{00000000-0000-0000-0000-000000000000}"/>
  <bookViews>
    <workbookView xWindow="-110" yWindow="-110" windowWidth="19420" windowHeight="11500" activeTab="1" xr2:uid="{D053F6F3-F5E7-4FFB-9A73-8A80894224BA}"/>
  </bookViews>
  <sheets>
    <sheet name="GUIDE" sheetId="2" r:id="rId1"/>
    <sheet name="T1_PHA_ESTABLISHMENT" sheetId="3" r:id="rId2"/>
    <sheet name="T2_TRAINING_SCHOOL" sheetId="4" r:id="rId3"/>
    <sheet name="T3_COUNCIL_REGISTER" sheetId="5" r:id="rId4"/>
    <sheet name="T4_FINANCE" sheetId="6" r:id="rId5"/>
    <sheet name="CADRE_MAPPING" sheetId="7" r:id="rId6"/>
    <sheet name="DATA_QUALITY_CHECKLIST"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3" i="6" l="1"/>
  <c r="F13" i="6"/>
  <c r="E14" i="6"/>
  <c r="F14" i="6"/>
  <c r="E15" i="6"/>
  <c r="F15" i="6"/>
  <c r="E16" i="6"/>
  <c r="F16" i="6"/>
  <c r="E17" i="6"/>
  <c r="F17" i="6"/>
  <c r="E18" i="6"/>
  <c r="F18" i="6"/>
  <c r="E19" i="6"/>
  <c r="F19" i="6"/>
  <c r="E21" i="6"/>
  <c r="F21" i="6"/>
  <c r="E22" i="6"/>
  <c r="F22" i="6"/>
  <c r="E23" i="6"/>
  <c r="F23" i="6"/>
  <c r="E24" i="6"/>
  <c r="F24" i="6"/>
  <c r="E26" i="6"/>
  <c r="F26" i="6"/>
  <c r="E27" i="6"/>
  <c r="F27" i="6"/>
  <c r="E29" i="6"/>
  <c r="F29" i="6"/>
  <c r="E30" i="6"/>
  <c r="F30" i="6"/>
  <c r="E31" i="6"/>
  <c r="F31" i="6"/>
  <c r="E32" i="6"/>
  <c r="F32" i="6"/>
  <c r="E34" i="6"/>
  <c r="F34" i="6"/>
  <c r="B35" i="6"/>
  <c r="C35" i="6"/>
  <c r="D35" i="6"/>
  <c r="E35" i="6"/>
  <c r="F35" i="6"/>
  <c r="E16" i="5"/>
  <c r="F16" i="5"/>
  <c r="J16" i="5"/>
  <c r="E17" i="5"/>
  <c r="F17" i="5"/>
  <c r="J17" i="5"/>
  <c r="E18" i="5"/>
  <c r="F18" i="5"/>
  <c r="J18" i="5"/>
  <c r="E19" i="5"/>
  <c r="F19" i="5"/>
  <c r="J19" i="5"/>
  <c r="B20" i="5"/>
  <c r="C20" i="5"/>
  <c r="D20" i="5"/>
  <c r="E20" i="5"/>
  <c r="F20" i="5"/>
  <c r="G20" i="5"/>
  <c r="J20" i="5" s="1"/>
  <c r="H20" i="5"/>
  <c r="I20" i="5"/>
  <c r="K20" i="5"/>
  <c r="L20" i="5"/>
  <c r="N20" i="5"/>
  <c r="E22" i="5"/>
  <c r="F22" i="5"/>
  <c r="J22" i="5"/>
  <c r="E23" i="5"/>
  <c r="F23" i="5"/>
  <c r="J23" i="5"/>
  <c r="E24" i="5"/>
  <c r="F24" i="5"/>
  <c r="J24" i="5"/>
  <c r="E25" i="5"/>
  <c r="F25" i="5"/>
  <c r="J25" i="5"/>
  <c r="E26" i="5"/>
  <c r="F26" i="5"/>
  <c r="J26" i="5"/>
  <c r="E27" i="5"/>
  <c r="F27" i="5"/>
  <c r="J27" i="5"/>
  <c r="B28" i="5"/>
  <c r="F28" i="5" s="1"/>
  <c r="C28" i="5"/>
  <c r="D28" i="5"/>
  <c r="G28" i="5"/>
  <c r="H28" i="5"/>
  <c r="I28" i="5"/>
  <c r="J28" i="5"/>
  <c r="K28" i="5"/>
  <c r="L28" i="5"/>
  <c r="N28" i="5"/>
  <c r="E30" i="5"/>
  <c r="F30" i="5"/>
  <c r="J30" i="5"/>
  <c r="E31" i="5"/>
  <c r="F31" i="5"/>
  <c r="J31" i="5"/>
  <c r="B32" i="5"/>
  <c r="C32" i="5"/>
  <c r="D32" i="5"/>
  <c r="E32" i="5"/>
  <c r="F32" i="5"/>
  <c r="G32" i="5"/>
  <c r="J32" i="5" s="1"/>
  <c r="H32" i="5"/>
  <c r="I32" i="5"/>
  <c r="K32" i="5"/>
  <c r="L32" i="5"/>
  <c r="N32" i="5"/>
  <c r="E34" i="5"/>
  <c r="F34" i="5"/>
  <c r="J34" i="5"/>
  <c r="E35" i="5"/>
  <c r="F35" i="5"/>
  <c r="J35" i="5"/>
  <c r="B36" i="5"/>
  <c r="F36" i="5" s="1"/>
  <c r="C36" i="5"/>
  <c r="D36" i="5"/>
  <c r="G36" i="5"/>
  <c r="H36" i="5"/>
  <c r="I36" i="5"/>
  <c r="J36" i="5"/>
  <c r="K36" i="5"/>
  <c r="L36" i="5"/>
  <c r="N36" i="5"/>
  <c r="G41" i="5"/>
  <c r="H41" i="5"/>
  <c r="G42" i="5"/>
  <c r="H42" i="5"/>
  <c r="G43" i="5"/>
  <c r="H43" i="5"/>
  <c r="G44" i="5"/>
  <c r="H44" i="5"/>
  <c r="G45" i="5"/>
  <c r="H45" i="5"/>
  <c r="G46" i="5"/>
  <c r="H46" i="5"/>
  <c r="G47" i="5"/>
  <c r="H47" i="5"/>
  <c r="G48" i="5"/>
  <c r="H48" i="5"/>
  <c r="F13" i="4"/>
  <c r="J13" i="4"/>
  <c r="F14" i="4"/>
  <c r="J14" i="4"/>
  <c r="F15" i="4"/>
  <c r="J15" i="4"/>
  <c r="F17" i="4"/>
  <c r="J17" i="4"/>
  <c r="F18" i="4"/>
  <c r="J18" i="4"/>
  <c r="F19" i="4"/>
  <c r="J19" i="4"/>
  <c r="F21" i="4"/>
  <c r="J21" i="4"/>
  <c r="F22" i="4"/>
  <c r="J22" i="4"/>
  <c r="F24" i="4"/>
  <c r="J24" i="4"/>
  <c r="F25" i="4"/>
  <c r="J25" i="4"/>
  <c r="F26" i="4"/>
  <c r="J26" i="4"/>
  <c r="F28" i="4"/>
  <c r="J28" i="4"/>
  <c r="F29" i="4"/>
  <c r="J29" i="4"/>
  <c r="F30" i="4"/>
  <c r="J30" i="4"/>
  <c r="F32" i="4"/>
  <c r="J32" i="4"/>
  <c r="F33" i="4"/>
  <c r="J33" i="4"/>
  <c r="F35" i="4"/>
  <c r="J35" i="4"/>
  <c r="F36" i="4"/>
  <c r="J36" i="4"/>
  <c r="F38" i="4"/>
  <c r="J38" i="4"/>
  <c r="F39" i="4"/>
  <c r="J39" i="4"/>
  <c r="F40" i="4"/>
  <c r="J40" i="4"/>
  <c r="F41" i="4"/>
  <c r="J41" i="4"/>
  <c r="F42" i="4"/>
  <c r="J42" i="4"/>
  <c r="F44" i="4"/>
  <c r="J44" i="4"/>
  <c r="F45" i="4"/>
  <c r="J45" i="4"/>
  <c r="C46" i="4"/>
  <c r="D46" i="4"/>
  <c r="E46" i="4"/>
  <c r="G46" i="4"/>
  <c r="H46" i="4"/>
  <c r="I46" i="4"/>
  <c r="G51" i="4"/>
  <c r="I51" i="4" s="1"/>
  <c r="G52" i="4"/>
  <c r="I52" i="4"/>
  <c r="G53" i="4"/>
  <c r="I53" i="4"/>
  <c r="G54" i="4"/>
  <c r="I54" i="4"/>
  <c r="G55" i="4"/>
  <c r="I55" i="4"/>
  <c r="G56" i="4"/>
  <c r="I56" i="4"/>
  <c r="G57" i="4"/>
  <c r="I57" i="4" s="1"/>
  <c r="G58" i="4"/>
  <c r="I58" i="4"/>
  <c r="G59" i="4"/>
  <c r="I59" i="4"/>
  <c r="G60" i="4"/>
  <c r="I60" i="4"/>
  <c r="G61" i="4"/>
  <c r="I61" i="4"/>
  <c r="G62" i="4"/>
  <c r="I62" i="4"/>
  <c r="G63" i="4"/>
  <c r="I63" i="4" s="1"/>
  <c r="G64" i="4"/>
  <c r="I64" i="4"/>
  <c r="D13" i="3"/>
  <c r="K13" i="3"/>
  <c r="N13" i="3"/>
  <c r="D14" i="3"/>
  <c r="K14" i="3"/>
  <c r="K90" i="3" s="1"/>
  <c r="N14" i="3"/>
  <c r="D16" i="3"/>
  <c r="K16" i="3"/>
  <c r="N16" i="3"/>
  <c r="N90" i="3" s="1"/>
  <c r="D17" i="3"/>
  <c r="K17" i="3"/>
  <c r="N17" i="3"/>
  <c r="D18" i="3"/>
  <c r="K18" i="3"/>
  <c r="N18" i="3"/>
  <c r="D19" i="3"/>
  <c r="K19" i="3"/>
  <c r="N19" i="3"/>
  <c r="D20" i="3"/>
  <c r="K20" i="3"/>
  <c r="N20" i="3"/>
  <c r="D21" i="3"/>
  <c r="K21" i="3"/>
  <c r="N21" i="3"/>
  <c r="D22" i="3"/>
  <c r="K22" i="3"/>
  <c r="N22" i="3"/>
  <c r="D23" i="3"/>
  <c r="K23" i="3"/>
  <c r="N23" i="3"/>
  <c r="D25" i="3"/>
  <c r="K25" i="3"/>
  <c r="N25" i="3"/>
  <c r="D27" i="3"/>
  <c r="K27" i="3"/>
  <c r="N27" i="3"/>
  <c r="D28" i="3"/>
  <c r="K28" i="3"/>
  <c r="N28" i="3"/>
  <c r="D29" i="3"/>
  <c r="K29" i="3"/>
  <c r="N29" i="3"/>
  <c r="D30" i="3"/>
  <c r="K30" i="3"/>
  <c r="N30" i="3"/>
  <c r="D31" i="3"/>
  <c r="K31" i="3"/>
  <c r="N31" i="3"/>
  <c r="D33" i="3"/>
  <c r="K33" i="3"/>
  <c r="N33" i="3"/>
  <c r="D34" i="3"/>
  <c r="K34" i="3"/>
  <c r="N34" i="3"/>
  <c r="D35" i="3"/>
  <c r="K35" i="3"/>
  <c r="N35" i="3"/>
  <c r="D37" i="3"/>
  <c r="K37" i="3"/>
  <c r="N37" i="3"/>
  <c r="D38" i="3"/>
  <c r="K38" i="3"/>
  <c r="N38" i="3"/>
  <c r="D40" i="3"/>
  <c r="K40" i="3"/>
  <c r="N40" i="3"/>
  <c r="D42" i="3"/>
  <c r="K42" i="3"/>
  <c r="N42" i="3"/>
  <c r="D44" i="3"/>
  <c r="K44" i="3"/>
  <c r="N44" i="3"/>
  <c r="D45" i="3"/>
  <c r="K45" i="3"/>
  <c r="N45" i="3"/>
  <c r="D46" i="3"/>
  <c r="K46" i="3"/>
  <c r="N46" i="3"/>
  <c r="D47" i="3"/>
  <c r="K47" i="3"/>
  <c r="N47" i="3"/>
  <c r="D49" i="3"/>
  <c r="K49" i="3"/>
  <c r="N49" i="3"/>
  <c r="D50" i="3"/>
  <c r="K50" i="3"/>
  <c r="N50" i="3"/>
  <c r="D51" i="3"/>
  <c r="K51" i="3"/>
  <c r="N51" i="3"/>
  <c r="D53" i="3"/>
  <c r="K53" i="3"/>
  <c r="N53" i="3"/>
  <c r="D54" i="3"/>
  <c r="K54" i="3"/>
  <c r="N54" i="3"/>
  <c r="D55" i="3"/>
  <c r="K55" i="3"/>
  <c r="N55" i="3"/>
  <c r="D57" i="3"/>
  <c r="K57" i="3"/>
  <c r="N57" i="3"/>
  <c r="D58" i="3"/>
  <c r="K58" i="3"/>
  <c r="N58" i="3"/>
  <c r="D59" i="3"/>
  <c r="K59" i="3"/>
  <c r="N59" i="3"/>
  <c r="D61" i="3"/>
  <c r="K61" i="3"/>
  <c r="N61" i="3"/>
  <c r="D62" i="3"/>
  <c r="K62" i="3"/>
  <c r="N62" i="3"/>
  <c r="D63" i="3"/>
  <c r="K63" i="3"/>
  <c r="N63" i="3"/>
  <c r="D65" i="3"/>
  <c r="K65" i="3"/>
  <c r="N65" i="3"/>
  <c r="D66" i="3"/>
  <c r="K66" i="3"/>
  <c r="N66" i="3"/>
  <c r="D68" i="3"/>
  <c r="K68" i="3"/>
  <c r="N68" i="3"/>
  <c r="D69" i="3"/>
  <c r="K69" i="3"/>
  <c r="N69" i="3"/>
  <c r="D71" i="3"/>
  <c r="K71" i="3"/>
  <c r="N71" i="3"/>
  <c r="D73" i="3"/>
  <c r="K73" i="3"/>
  <c r="N73" i="3"/>
  <c r="D74" i="3"/>
  <c r="K74" i="3"/>
  <c r="N74" i="3"/>
  <c r="D75" i="3"/>
  <c r="K75" i="3"/>
  <c r="N75" i="3"/>
  <c r="D77" i="3"/>
  <c r="K77" i="3"/>
  <c r="N77" i="3"/>
  <c r="D79" i="3"/>
  <c r="K79" i="3"/>
  <c r="N79" i="3"/>
  <c r="D80" i="3"/>
  <c r="K80" i="3"/>
  <c r="N80" i="3"/>
  <c r="D81" i="3"/>
  <c r="K81" i="3"/>
  <c r="N81" i="3"/>
  <c r="D82" i="3"/>
  <c r="K82" i="3"/>
  <c r="N82" i="3"/>
  <c r="D83" i="3"/>
  <c r="K83" i="3"/>
  <c r="N83" i="3"/>
  <c r="D85" i="3"/>
  <c r="K85" i="3"/>
  <c r="N85" i="3"/>
  <c r="D86" i="3"/>
  <c r="K86" i="3"/>
  <c r="N86" i="3"/>
  <c r="D87" i="3"/>
  <c r="K87" i="3"/>
  <c r="N87" i="3"/>
  <c r="D88" i="3"/>
  <c r="K88" i="3"/>
  <c r="N88" i="3"/>
  <c r="D89" i="3"/>
  <c r="K89" i="3"/>
  <c r="N89" i="3"/>
  <c r="B90" i="3"/>
  <c r="C90" i="3"/>
  <c r="D90" i="3"/>
  <c r="E90" i="3"/>
  <c r="F90" i="3"/>
  <c r="G90" i="3"/>
  <c r="H90" i="3"/>
  <c r="I90" i="3"/>
  <c r="J90" i="3"/>
  <c r="L90" i="3"/>
  <c r="M90" i="3"/>
  <c r="O90" i="3"/>
  <c r="P90" i="3"/>
  <c r="Q90" i="3"/>
  <c r="E36" i="5" l="1"/>
  <c r="E28" i="5"/>
</calcChain>
</file>

<file path=xl/sharedStrings.xml><?xml version="1.0" encoding="utf-8"?>
<sst xmlns="http://schemas.openxmlformats.org/spreadsheetml/2006/main" count="654" uniqueCount="557">
  <si>
    <t>NHWA DATA QUALITY CHECKLIST — Pre-Submission Verification</t>
  </si>
  <si>
    <t>Complete this checklist BEFORE returning data to the NHWA Focal Point. All items must be marked Done or N/A. Items marked 'Issue Found' must be resolved first. Sign the sign-off block at the bottom.</t>
  </si>
  <si>
    <t>#</t>
  </si>
  <si>
    <t>Verification Item</t>
  </si>
  <si>
    <t>How to Verify</t>
  </si>
  <si>
    <t>Status</t>
  </si>
  <si>
    <t>Verified By</t>
  </si>
  <si>
    <t>Date</t>
  </si>
  <si>
    <t>Notes / Issues Found</t>
  </si>
  <si>
    <t>TOOL 1 — PHA ESTABLISHMENT</t>
  </si>
  <si>
    <t>1</t>
  </si>
  <si>
    <t>Nursing and midwifery rows are separated — no Nursing Officer with Midwife/FHS in title appears in the Nursing row</t>
  </si>
  <si>
    <t>Review position titles in M column against cadre mapping</t>
  </si>
  <si>
    <t>Not Started</t>
  </si>
  <si>
    <t>2</t>
  </si>
  <si>
    <t>'In Post (Practising)' column contains only Alesco payroll-confirmed staff or council practising certificate holders — not the full registration list</t>
  </si>
  <si>
    <t>Cross-check against payroll extract</t>
  </si>
  <si>
    <t>3</t>
  </si>
  <si>
    <t>Funding source columns completed — NDoH Payroll, Faith-Based, and Devt Partner figures sum to In Post total</t>
  </si>
  <si>
    <t>Check O+P+Q = M for each row</t>
  </si>
  <si>
    <t>4</t>
  </si>
  <si>
    <t>Vacancy column verified: Ceiling minus In Post matches the auto-calculated value</t>
  </si>
  <si>
    <t>Check column N formula results</t>
  </si>
  <si>
    <t>5</t>
  </si>
  <si>
    <t>Under-25 age band completed where staff under 25 are known to exist</t>
  </si>
  <si>
    <t>Review age distribution for junior cadres</t>
  </si>
  <si>
    <t>6</t>
  </si>
  <si>
    <t>Age band totals match the Total In Post figure (or are noted as incomplete)</t>
  </si>
  <si>
    <t>Check column K vs column M</t>
  </si>
  <si>
    <t>TOOL 2 — TRAINING SCHOOL / MEU</t>
  </si>
  <si>
    <t>7</t>
  </si>
  <si>
    <t>Midwifery graduate data obtained and entered for 2022, 2023, 2024, and 2025</t>
  </si>
  <si>
    <t>Confirm with Nursing Council and MEU — this is a priority field</t>
  </si>
  <si>
    <t>8</t>
  </si>
  <si>
    <t>Male and female graduate counts sum to total graduate count</t>
  </si>
  <si>
    <t>Check D+E = C for each row</t>
  </si>
  <si>
    <t>9</t>
  </si>
  <si>
    <t>Training institution inventory complete with accreditation status for each institution</t>
  </si>
  <si>
    <t>Cross-check with accrediting body records</t>
  </si>
  <si>
    <t>10</t>
  </si>
  <si>
    <t>Enrolment figures cover all year groups and sum correctly in Total Enrolled column</t>
  </si>
  <si>
    <t>Check G = SUM(C:F) for each row</t>
  </si>
  <si>
    <t>TOOL 3 — COUNCIL REGISTER</t>
  </si>
  <si>
    <t>11</t>
  </si>
  <si>
    <t>Practising certificate holders confirmed separately from total registered — not the same figure</t>
  </si>
  <si>
    <t>Council must confirm they maintain practising certificate records separately</t>
  </si>
  <si>
    <t>12</t>
  </si>
  <si>
    <t>Registration trend data completed for at least 2023, 2024, and 2025</t>
  </si>
  <si>
    <t>Review Section B completeness</t>
  </si>
  <si>
    <t>13</t>
  </si>
  <si>
    <t>Country of primary qualification noted for at least the most common foreign nationality in each cadre</t>
  </si>
  <si>
    <t>Council registration form should capture this field</t>
  </si>
  <si>
    <t>TOOL 4 — FINANCE</t>
  </si>
  <si>
    <t>14</t>
  </si>
  <si>
    <t>Finance figures are EXPENDITURE (budget execution), not budget allocations — source document confirmed</t>
  </si>
  <si>
    <t>Note document reference in Source column</t>
  </si>
  <si>
    <t>15</t>
  </si>
  <si>
    <t>Development partner disbursements cross-checked against AIMS or partner reports</t>
  </si>
  <si>
    <t>Contact NDoH Finance or development partner directly</t>
  </si>
  <si>
    <t>GENERAL — ALL TOOLS</t>
  </si>
  <si>
    <t>16</t>
  </si>
  <si>
    <t>Province/Institution and Date Completed fields filled in on every sheet</t>
  </si>
  <si>
    <t>Check row 6 of each tool sheet</t>
  </si>
  <si>
    <t>17</t>
  </si>
  <si>
    <t>No formula errors (#REF!, #DIV/0!, #VALUE!) in any auto-calculated grey cell</t>
  </si>
  <si>
    <t>Scroll through all grey cells on all sheets</t>
  </si>
  <si>
    <t>18</t>
  </si>
  <si>
    <t>Data reference year noted for any figure that is not from 2025</t>
  </si>
  <si>
    <t>Check all Notes fields on each sheet</t>
  </si>
  <si>
    <t>19</t>
  </si>
  <si>
    <t>All blank mandatory fields either contain data, are marked N/A, or have an explanation in the Notes column</t>
  </si>
  <si>
    <t>Final scroll-through of all yellow cells</t>
  </si>
  <si>
    <t>20</t>
  </si>
  <si>
    <t>This checklist signed off by the designated data officer before submission</t>
  </si>
  <si>
    <t>See sign-off block below</t>
  </si>
  <si>
    <t>SIGN-OFF: I confirm that all applicable verification items have been completed and that the data are, to the best of my knowledge, accurate.</t>
  </si>
  <si>
    <t>Full Name:</t>
  </si>
  <si>
    <t>Title:</t>
  </si>
  <si>
    <t>Institution / PHA:</t>
  </si>
  <si>
    <t>Date:</t>
  </si>
  <si>
    <t>Signature (typed):</t>
  </si>
  <si>
    <t>Submit completed files to the WHO PNG NHWA Focal Point.  For technical support: WHO Papua New Guinea Country Office  |  WHO NHWA Consultant  |  May 2026</t>
  </si>
  <si>
    <t>Questions? Contact the WHO PNG NHWA Consultant or the NHWA Focal Point at the NDoH.</t>
  </si>
  <si>
    <t>9.</t>
  </si>
  <si>
    <t>Complete the Data Quality Checklist and sign off before returning the completed file to the NHWA Focal Point.</t>
  </si>
  <si>
    <t>8.</t>
  </si>
  <si>
    <t>If a cadre or position does not exist in your province or institution, leave the row blank — do not enter 0.</t>
  </si>
  <si>
    <t>7.</t>
  </si>
  <si>
    <t>All data should refer to the 2025 calendar year (1 January to 31 December 2025) unless the field specifies otherwise.</t>
  </si>
  <si>
    <t>6.</t>
  </si>
  <si>
    <t>'Practising' means on the NDoH/PHA Alesco payroll OR holding a current practising certificate from the relevant council — NOT just registered.</t>
  </si>
  <si>
    <t>5.</t>
  </si>
  <si>
    <t>Use the CADRE_MAPPING sheet to determine which NHWA category each designation belongs to BEFORE entering data.</t>
  </si>
  <si>
    <t>4.</t>
  </si>
  <si>
    <t>Blank ≠ Zero. Leave a cell BLANK if data are genuinely unknown or unavailable. Only enter 0 if the value is confirmed as zero.</t>
  </si>
  <si>
    <t>3.</t>
  </si>
  <si>
    <t>Grey cells are auto-calculated using Excel formulas. Do not edit them — they update automatically when you enter data.</t>
  </si>
  <si>
    <t>2.</t>
  </si>
  <si>
    <t>Yellow cells are data entry cells. Enter numbers only. Do not type text, % signs, or formulas in yellow cells.</t>
  </si>
  <si>
    <t>1.</t>
  </si>
  <si>
    <t>KEY RULES FOR DATA ENTRY</t>
  </si>
  <si>
    <t>PRE-SUBMISSION DATA QUALITY CHECKLIST. Twenty verification steps to complete before submitting any data to the NHWA Focal Point. Includes sign-off block and data quality rating.</t>
  </si>
  <si>
    <t>DATA_QUALITY_CHECKLIST</t>
  </si>
  <si>
    <t>Checklist</t>
  </si>
  <si>
    <t>NHWA CADRE MAPPING FRAMEWORK. Maps PNG Alesco payroll position titles and PHA designation labels to standardised NHWA occupational categories. Includes the three guiding principles and key watch-points for the nursing-midwifery classification and the specialist medical officer classification.</t>
  </si>
  <si>
    <t>CADRE_MAPPING</t>
  </si>
  <si>
    <t>Reference</t>
  </si>
  <si>
    <t>HEALTH WORKFORCE FINANCE TEMPLATE. For completion by NDoH Finance Unit and Department of Treasury. Covers health workforce compensation expenditure and training investment (Module 4). PNG has never reported Module 4 data to the NHWA portal — this tool enables a first submission.</t>
  </si>
  <si>
    <t>T4_FINANCE</t>
  </si>
  <si>
    <t>Tool 4</t>
  </si>
  <si>
    <t>PROFESSIONAL COUNCIL REGISTER TEMPLATE. For completion by the Medical Board, Nursing Council, Pharmacy Board, and Dental Board. Captures total registered, currently licensed, and practising certificate holders — enabling the practising vs. non-practising distinction required by NHWA Module 1.</t>
  </si>
  <si>
    <t>T3_COUNCIL_REGISTER</t>
  </si>
  <si>
    <t>Tool 3</t>
  </si>
  <si>
    <t>TRAINING SCHOOL / MEDICAL EDUCATION UNIT TEMPLATE. For completion by training institution administrators and the Medical Education Unit. Covers graduate output, student enrolment, and training capacity (Module 3). Designed for all health professional training programmes including nursing, midwifery, medicine, pharmacy, and allied health.</t>
  </si>
  <si>
    <t>T2_TRAINING_SCHOOL</t>
  </si>
  <si>
    <t>Tool 2</t>
  </si>
  <si>
    <t>REVISED PHA ESTABLISHMENT TEMPLATE. For completion by PHA Human Resource Officers. Covers workforce stock (Module 1) and distribution by facility ownership (Module 2). Replaces the current PHA template with an NHWA-aligned version that adds the under-25 age band, separates nursing from midwifery, and includes a funding source column.</t>
  </si>
  <si>
    <t>T1_PHA_ESTABLISHMENT</t>
  </si>
  <si>
    <t>Tool 1</t>
  </si>
  <si>
    <t>WORKBOOK CONTENTS</t>
  </si>
  <si>
    <t>This toolkit provides standardised, NHWA-aligned data collection templates for all four NHWA modules, contextualised for Papua New Guinea's health workforce data systems. It is designed for use by: Provincial Health Authority HR Officers (PHA Establishment Template); Medical Education Unit and training school administrators (Training School Template); Professional regulatory council staff — Medical Board, Nursing Council, Pharmacy Board, Dental Board (Council Register Template); and NDoH Finance / Department of Treasury (Finance Template). Data collected using these tools will be submitted to the NHWA Focal Point and incorporated into the 2025 NHWA portal submission.</t>
  </si>
  <si>
    <t>PURPOSE</t>
  </si>
  <si>
    <t>PNG NHWA DATA COLLECTION TOOLKIT — 2025 Reporting Cycle</t>
  </si>
  <si>
    <t>DATA SOURCES: 'In Post (Practising)' = staff confirmed on Alesco payroll OR holding a valid practising certificate from the relevant council. DO NOT use the registration list alone — this overstates the practising workforce. Funding Source columns: NDoH/PHA Payroll = staff on government Alesco payroll; Faith-Based = staff employed by CMC or other faith-based organisations; Devt Partner Funded = staff whose salaries are paid by WHO, ADB, DFAT, GIZ, or other external partners.</t>
  </si>
  <si>
    <t>PROVINCIAL TOTAL (auto)</t>
  </si>
  <si>
    <t xml:space="preserve">  Other Support Staff</t>
  </si>
  <si>
    <t xml:space="preserve">  Artisans / Maintenance / Electricians</t>
  </si>
  <si>
    <t xml:space="preserve">  Cooks / Catering / Laundry / Domestic</t>
  </si>
  <si>
    <t xml:space="preserve">  Security Guards</t>
  </si>
  <si>
    <t xml:space="preserve">  Drivers / Transport</t>
  </si>
  <si>
    <t>NON-MEDICAL NON-PROFESSIONAL (SUPPORT) STAFF</t>
  </si>
  <si>
    <t xml:space="preserve">  Other Professional Non-Medical Staff</t>
  </si>
  <si>
    <t xml:space="preserve">  Public Health Officers / Disease Control Officers</t>
  </si>
  <si>
    <t xml:space="preserve">  Administrative Officers / Clerks / Secretaries</t>
  </si>
  <si>
    <t xml:space="preserve">  Manager (all types — Finance, HR, ICT, etc.)</t>
  </si>
  <si>
    <t xml:space="preserve">  Chief Executive Officer / Director</t>
  </si>
  <si>
    <t>NON-MEDICAL PROFESSIONAL STAFF</t>
  </si>
  <si>
    <t xml:space="preserve">  Medical Records Clerk / Health Information Officer</t>
  </si>
  <si>
    <t>MEDICAL RECORDS</t>
  </si>
  <si>
    <t xml:space="preserve">  Speech Therapist</t>
  </si>
  <si>
    <t xml:space="preserve">  Dietician / Nutritionist</t>
  </si>
  <si>
    <t xml:space="preserve">  Medical Social Worker</t>
  </si>
  <si>
    <t>SOCIAL WORK &amp; ALLIED HEALTH</t>
  </si>
  <si>
    <t xml:space="preserve">  Prosthetic &amp; Orthotic Technician</t>
  </si>
  <si>
    <t>PROSTHETICS &amp; ORTHOTICS</t>
  </si>
  <si>
    <t xml:space="preserve">  Biomedical Technician / Assistant</t>
  </si>
  <si>
    <t xml:space="preserve">  Biomedical Engineer</t>
  </si>
  <si>
    <t>BIOMEDICAL ENGINEERING</t>
  </si>
  <si>
    <t xml:space="preserve">  Physiotherapy Technician / Assistant</t>
  </si>
  <si>
    <t xml:space="preserve">  Physiotherapist (incl. Resident Physiotherapist)</t>
  </si>
  <si>
    <t>PHYSIOTHERAPY</t>
  </si>
  <si>
    <t xml:space="preserve">  Anaesthetic Assistant</t>
  </si>
  <si>
    <t xml:space="preserve">  Anaesthetic Technical Officer / Technician</t>
  </si>
  <si>
    <t xml:space="preserve">  Anaesthetic Scientific Officer</t>
  </si>
  <si>
    <t>ANAESTHESIA</t>
  </si>
  <si>
    <t xml:space="preserve">  Ultrasonographer / CAT Scan Technologist</t>
  </si>
  <si>
    <t xml:space="preserve">  Medical Imaging Technician / X-Ray Assistant</t>
  </si>
  <si>
    <t xml:space="preserve">  Radiographer / Medical Imaging Technologist</t>
  </si>
  <si>
    <t>MEDICAL IMAGING / RADIOLOGY</t>
  </si>
  <si>
    <t xml:space="preserve">  Medical Laboratory Assistant / Rural Lab</t>
  </si>
  <si>
    <t xml:space="preserve">  Medical Laboratory Technician</t>
  </si>
  <si>
    <t xml:space="preserve">  Medical Laboratory Technologist / Scientist</t>
  </si>
  <si>
    <t>MEDICAL LABORATORY</t>
  </si>
  <si>
    <t xml:space="preserve">  Pharmacy Assistant / Dispenser</t>
  </si>
  <si>
    <t xml:space="preserve">  Pharmacy Technician</t>
  </si>
  <si>
    <t xml:space="preserve">  Pharmacist (registered)</t>
  </si>
  <si>
    <t>PHARMACY CADRES</t>
  </si>
  <si>
    <t xml:space="preserve">  Dental Assistant</t>
  </si>
  <si>
    <t xml:space="preserve">  Dental Technician</t>
  </si>
  <si>
    <t xml:space="preserve">  Dental Therapist</t>
  </si>
  <si>
    <t xml:space="preserve">  Dental Officer / Resident Dental Officer / Dentist</t>
  </si>
  <si>
    <t>DENTAL CADRES</t>
  </si>
  <si>
    <t xml:space="preserve">  Environmental Health Officer / Hygiene Officer</t>
  </si>
  <si>
    <t>ENVIRONMENTAL HEALTH OFFICERS</t>
  </si>
  <si>
    <t xml:space="preserve">  Health Extension Officer (all variants)</t>
  </si>
  <si>
    <t>HEALTH EXTENSION OFFICERS</t>
  </si>
  <si>
    <t xml:space="preserve">  Village Health Assistant (VHA)</t>
  </si>
  <si>
    <t xml:space="preserve">  Community Health Worker (CHW Classes 2–6)</t>
  </si>
  <si>
    <t>COMMUNITY HEALTH WORKERS</t>
  </si>
  <si>
    <t xml:space="preserve">  Family Health Service (FHS) Nursing Officer</t>
  </si>
  <si>
    <t xml:space="preserve">  Midwife (standalone title)</t>
  </si>
  <si>
    <t xml:space="preserve">  Nursing Officer – Midwife [enter ALL NOs with midwifery/FHS in title here]</t>
  </si>
  <si>
    <t>MIDWIFERY PERSONNEL  ⚠ SEPARATE FROM NURSING</t>
  </si>
  <si>
    <t xml:space="preserve">  Paediatric Nurse / Acute Care Nurse</t>
  </si>
  <si>
    <t xml:space="preserve">  Ophthalmic Nurse</t>
  </si>
  <si>
    <t xml:space="preserve">  Mental Health Nurse</t>
  </si>
  <si>
    <t xml:space="preserve">  Director of Nursing / Manager Nursing Services</t>
  </si>
  <si>
    <t xml:space="preserve">  Nursing Officer — primary function: NURSING CARE</t>
  </si>
  <si>
    <t>NURSING PERSONNEL</t>
  </si>
  <si>
    <t xml:space="preserve">  Resident Medical Officers (Year 1 and Year 2)</t>
  </si>
  <si>
    <t>RESIDENT MEDICAL OFFICERS (RMOs)</t>
  </si>
  <si>
    <t xml:space="preserve">  Other Specialist Medical Officers</t>
  </si>
  <si>
    <t xml:space="preserve">  Anaesthesiologist (specialist)</t>
  </si>
  <si>
    <t xml:space="preserve">  Radiologist / Pathologist</t>
  </si>
  <si>
    <t xml:space="preserve">  Psychiatrist</t>
  </si>
  <si>
    <t xml:space="preserve">  Emergency Physician</t>
  </si>
  <si>
    <t xml:space="preserve">  General Surgeon</t>
  </si>
  <si>
    <t xml:space="preserve">  Obstetricians and Gynaecologists</t>
  </si>
  <si>
    <t xml:space="preserve">  Paediatricians</t>
  </si>
  <si>
    <t>SPECIALIST MEDICAL OFFICERS</t>
  </si>
  <si>
    <t xml:space="preserve">  Medical Superintendent</t>
  </si>
  <si>
    <t xml:space="preserve">  Medical Officer (generalist, incl. RMOs Yr1 &amp; Yr2)</t>
  </si>
  <si>
    <t>MEDICAL DOCTORS</t>
  </si>
  <si>
    <t>Notes /
Comments</t>
  </si>
  <si>
    <t>Devt Partner
Funded</t>
  </si>
  <si>
    <t>Faith-Based /
Not-for-Profit</t>
  </si>
  <si>
    <t>NDoH/PHA
Payroll</t>
  </si>
  <si>
    <t>Vacancy
(auto)</t>
  </si>
  <si>
    <t>In Post
(Practising)</t>
  </si>
  <si>
    <t>Staff
Ceiling</t>
  </si>
  <si>
    <t>Age Total
(auto)</t>
  </si>
  <si>
    <t>65+</t>
  </si>
  <si>
    <t>55–64</t>
  </si>
  <si>
    <t>45–54</t>
  </si>
  <si>
    <t>35–44</t>
  </si>
  <si>
    <t>25–34</t>
  </si>
  <si>
    <t>&lt;25 yrs</t>
  </si>
  <si>
    <t>Total
(auto)</t>
  </si>
  <si>
    <t>Female</t>
  </si>
  <si>
    <t>Male</t>
  </si>
  <si>
    <t>STAFF CATEGORY
(See CADRE_MAPPING for classification)</t>
  </si>
  <si>
    <t>FUNDING SOURCE</t>
  </si>
  <si>
    <t>ESTABLISHMENT</t>
  </si>
  <si>
    <t>AGE BAND (Years)</t>
  </si>
  <si>
    <t>SEX</t>
  </si>
  <si>
    <t>STAFF CATEGORY (NHWA-aligned)</t>
  </si>
  <si>
    <t>CHANGES FROM PREVIOUS PHA TEMPLATE: (1) Added '&lt;25 years' age band — previously missing. (2) Nursing and Midwifery are now SEPARATE rows — do not combine them. (3) Added 'Funding Source' column — distinguish NDoH payroll, faith-based, and development partner staff. (4) Section headers now use NHWA-standard cadre names. (5) 'Practising' column added — enter only staff confirmed on Alesco payroll or holding a valid practising certificate.</t>
  </si>
  <si>
    <t>▶  INSTRUCTIONS:  Yellow cells = enter data.  Grey cells = auto-calculated — do not edit.  Leave blank if data unavailable (blank ≠ zero).  Enter 0 only if the value is confirmed as zero.  Use the CADRE_MAPPING sheet to classify designations before entering data.</t>
  </si>
  <si>
    <t>Completed By:</t>
  </si>
  <si>
    <t>Data Source System:</t>
  </si>
  <si>
    <t>Reporting Period:</t>
  </si>
  <si>
    <t>Province / Institution:</t>
  </si>
  <si>
    <t>WHO Papua New Guinea Country Office  |  National Health Workforce Accounts  |  NHWA Data Collection Tool  |  Reporting Year: 2025</t>
  </si>
  <si>
    <t>Module 1 (Workforce Stock) and Module 2 (Distribution)  |  For completion by PHA Human Resource Officers</t>
  </si>
  <si>
    <t>TOOL 1 — REVISED PHA ESTABLISHMENT DATA TEMPLATE</t>
  </si>
  <si>
    <t>Notes</t>
  </si>
  <si>
    <t>Contact Person</t>
  </si>
  <si>
    <t>Annual Capacity</t>
  </si>
  <si>
    <t>Est. Year</t>
  </si>
  <si>
    <t>Accreditation Status</t>
  </si>
  <si>
    <t>Cadres Trained</t>
  </si>
  <si>
    <t>Ownership (Public/Private/Faith-based)</t>
  </si>
  <si>
    <t>Type (University/College/Hospital-based)</t>
  </si>
  <si>
    <t>Province</t>
  </si>
  <si>
    <t>Institution Name</t>
  </si>
  <si>
    <t>Complete one row per training institution. This data has never been systematically collected for NHWA Module 3 in PNG. Ownership: Public = government-funded; Private = private for-profit; Faith-based = CMC and church institutions.</t>
  </si>
  <si>
    <t>SECTION C — TRAINING INSTITUTION INVENTORY</t>
  </si>
  <si>
    <t xml:space="preserve">  Other</t>
  </si>
  <si>
    <t xml:space="preserve">  Radiography/Medical Imaging</t>
  </si>
  <si>
    <t xml:space="preserve">  Physiotherapy</t>
  </si>
  <si>
    <t xml:space="preserve">  Medical Laboratory Technologist</t>
  </si>
  <si>
    <t xml:space="preserve">  Dental Officer/Therapist</t>
  </si>
  <si>
    <t xml:space="preserve">  Bachelor of Pharmacy</t>
  </si>
  <si>
    <t xml:space="preserve">  HEO Diploma</t>
  </si>
  <si>
    <t xml:space="preserve">  CHW Certificate</t>
  </si>
  <si>
    <t xml:space="preserve">  Midwifery (Bachelor/Diploma)</t>
  </si>
  <si>
    <t xml:space="preserve">  Diploma of Nursing</t>
  </si>
  <si>
    <t xml:space="preserve">  Bachelor of Nursing</t>
  </si>
  <si>
    <t xml:space="preserve">  Specialist/Postgraduate Medicine</t>
  </si>
  <si>
    <t xml:space="preserve">  Generalist Medical Practitioners</t>
  </si>
  <si>
    <t>Programme
Length (years)</t>
  </si>
  <si>
    <t>Utilisation %
(auto)</t>
  </si>
  <si>
    <t>Annual
Capacity</t>
  </si>
  <si>
    <t>Total Enrolled
(auto)</t>
  </si>
  <si>
    <t>Year 4+</t>
  </si>
  <si>
    <t>Year 3</t>
  </si>
  <si>
    <t>Year 2</t>
  </si>
  <si>
    <t>Year 1</t>
  </si>
  <si>
    <t>Training Institution</t>
  </si>
  <si>
    <t>Programme</t>
  </si>
  <si>
    <t>Enter students CURRENTLY ENROLLED as at 31 December 2025. Training Capacity = maximum annual intake approved by the accrediting body. This data has never been submitted to the NHWA portal for PNG — it is a priority new indicator.</t>
  </si>
  <si>
    <t>SECTION B — STUDENT ENROLMENT AND TRAINING CAPACITY</t>
  </si>
  <si>
    <t>NATIONAL TOTAL — ALL INSTITUTIONS (auto)</t>
  </si>
  <si>
    <t xml:space="preserve">  Other (specify in Notes)</t>
  </si>
  <si>
    <t xml:space="preserve">  Health Records and Information Officers</t>
  </si>
  <si>
    <t>OTHER PROGRAMMES</t>
  </si>
  <si>
    <t xml:space="preserve">  Medical Social Workers</t>
  </si>
  <si>
    <t xml:space="preserve">  Biomedical Engineers / Technicians</t>
  </si>
  <si>
    <t xml:space="preserve">  Environmental Health Officers</t>
  </si>
  <si>
    <t xml:space="preserve">  Radiographers / Medical Imaging Technologists</t>
  </si>
  <si>
    <t xml:space="preserve">  Physiotherapists</t>
  </si>
  <si>
    <t>ALLIED HEALTH</t>
  </si>
  <si>
    <t xml:space="preserve">  Medical Laboratory Technicians</t>
  </si>
  <si>
    <t xml:space="preserve">  Medical Laboratory Technologists / Scientists</t>
  </si>
  <si>
    <t xml:space="preserve">  Pharmacy Technician Certificate</t>
  </si>
  <si>
    <t>PHARMACY</t>
  </si>
  <si>
    <t xml:space="preserve">  Dental Technicians</t>
  </si>
  <si>
    <t xml:space="preserve">  Dental Therapists</t>
  </si>
  <si>
    <t xml:space="preserve">  Dental Officers / Dentists</t>
  </si>
  <si>
    <t>DENTAL</t>
  </si>
  <si>
    <t xml:space="preserve">  Village Health Assistant</t>
  </si>
  <si>
    <t xml:space="preserve">  Health Extension Officer Diploma</t>
  </si>
  <si>
    <t xml:space="preserve">  Community Health Worker Certificate</t>
  </si>
  <si>
    <t>COMMUNITY HEALTH</t>
  </si>
  <si>
    <t xml:space="preserve">  Post-basic Midwifery Certificate</t>
  </si>
  <si>
    <t xml:space="preserve">  Midwifery Professionals (Bachelor/Diploma of Midwifery)</t>
  </si>
  <si>
    <t>MIDWIFERY  ⚠ PRIORITY — last NHWA data: 2016</t>
  </si>
  <si>
    <t xml:space="preserve">  Enrolled / Auxiliary Nursing (Certificate)</t>
  </si>
  <si>
    <t xml:space="preserve">  Diploma of Nursing (3-year diploma)</t>
  </si>
  <si>
    <t xml:space="preserve">  Bachelor of Nursing (4-year degree)</t>
  </si>
  <si>
    <t>NURSING</t>
  </si>
  <si>
    <t xml:space="preserve">  Resident Medical Officers — Year 1 (internship)</t>
  </si>
  <si>
    <t xml:space="preserve">  Specialist Medical Practitioners (Postgraduate/Fellowship)</t>
  </si>
  <si>
    <t xml:space="preserve">  Generalist Medical Practitioners (MBBS / MBChB)</t>
  </si>
  <si>
    <t>MEDICINE</t>
  </si>
  <si>
    <t>Accreditation
Status</t>
  </si>
  <si>
    <t>3-Year Average
2023–2025 (auto)</t>
  </si>
  <si>
    <t>Graduates
2022</t>
  </si>
  <si>
    <t>Graduates
2023</t>
  </si>
  <si>
    <t>Graduates
2024</t>
  </si>
  <si>
    <t>Female %
(auto)</t>
  </si>
  <si>
    <t>Females
2025</t>
  </si>
  <si>
    <t>Males
2025</t>
  </si>
  <si>
    <t>Graduates
2025</t>
  </si>
  <si>
    <t>Institution Name
(one per column)</t>
  </si>
  <si>
    <t>Training Programme / Qualification</t>
  </si>
  <si>
    <t>Enter the number of students who COMPLETED their programme and received their qualification. Each institution completes one column. The MEU compiles the national totals. CRITICAL: Midwifery graduate data have not been updated on the NHWA portal since 2016 — this is a priority field.</t>
  </si>
  <si>
    <t>SECTION A — GRADUATE OUTPUT (NHWA Module 3)</t>
  </si>
  <si>
    <t>Module 3 (Education and Training)  |  For completion by Training Institution Administrators and the Medical Education Unit</t>
  </si>
  <si>
    <t>TOOL 2 — TRAINING SCHOOL / MEDICAL EDUCATION UNIT TEMPLATE</t>
  </si>
  <si>
    <t xml:space="preserve">  Pharmacists</t>
  </si>
  <si>
    <t xml:space="preserve">  Dental Officers</t>
  </si>
  <si>
    <t xml:space="preserve">  Health Extension Officers</t>
  </si>
  <si>
    <t xml:space="preserve">  Community Health Workers</t>
  </si>
  <si>
    <t xml:space="preserve">  Midwifery Personnel</t>
  </si>
  <si>
    <t xml:space="preserve">  Nursing Personnel</t>
  </si>
  <si>
    <t xml:space="preserve">  Specialist Medical Officers</t>
  </si>
  <si>
    <t xml:space="preserve">  Medical Doctors (generalist)</t>
  </si>
  <si>
    <t>% Growth (auto)</t>
  </si>
  <si>
    <t>Change 2021–2025 (auto)</t>
  </si>
  <si>
    <t>2025</t>
  </si>
  <si>
    <t>2024</t>
  </si>
  <si>
    <t>2023</t>
  </si>
  <si>
    <t>2022</t>
  </si>
  <si>
    <t>2021</t>
  </si>
  <si>
    <t>Occupational Category</t>
  </si>
  <si>
    <t>Enter the TOTAL number registered as at 31 December for each year. This enables trend analysis for NHWA Module 1. If exact year-end figures are unavailable, enter the most recent snapshot figure and note the reference date.</t>
  </si>
  <si>
    <t>SECTION B — REGISTRATION TRENDS (2021–2025)</t>
  </si>
  <si>
    <t>TOTAL — Dental Board (auto)</t>
  </si>
  <si>
    <t xml:space="preserve">  Registered Dental Therapists</t>
  </si>
  <si>
    <t xml:space="preserve">  Registered Dental Officers / Dentists</t>
  </si>
  <si>
    <t>DENTAL BOARD OF PAPUA NEW GUINEA</t>
  </si>
  <si>
    <t>TOTAL — Pharmacy Board (auto)</t>
  </si>
  <si>
    <t xml:space="preserve">  Pharmacy Technicians (if board-registered)</t>
  </si>
  <si>
    <t xml:space="preserve">  Registered Pharmacists</t>
  </si>
  <si>
    <t>PHARMACY BOARD OF PAPUA NEW GUINEA</t>
  </si>
  <si>
    <t>TOTAL — Nursing Council (auto)</t>
  </si>
  <si>
    <t xml:space="preserve">  Health Extension Officers (if council-registered)</t>
  </si>
  <si>
    <t xml:space="preserve">  Community Health Workers (if council-registered)</t>
  </si>
  <si>
    <t xml:space="preserve">  Nurse Practitioners / Specialist Nurses</t>
  </si>
  <si>
    <t xml:space="preserve">  Registered Midwives (includes Nursing Officers – Midwife)</t>
  </si>
  <si>
    <t xml:space="preserve">  Enrolled/Auxiliary Nurses (Diploma/Certificate)</t>
  </si>
  <si>
    <t xml:space="preserve">  Registered Nurses (Bachelor level)</t>
  </si>
  <si>
    <t>NURSING COUNCIL OF PAPUA NEW GUINEA</t>
  </si>
  <si>
    <t>TOTAL — Medical Board (auto)</t>
  </si>
  <si>
    <t xml:space="preserve">  International Medical Graduates (IMGs) — temporary registration</t>
  </si>
  <si>
    <t xml:space="preserve">  Specialist Medical Officers (all specialties)</t>
  </si>
  <si>
    <t xml:space="preserve">  Generalist Medical Practitioners (Medical Officers)</t>
  </si>
  <si>
    <t>MEDICAL BOARD OF PAPUA NEW GUINEA</t>
  </si>
  <si>
    <t>Source
System</t>
  </si>
  <si>
    <t>Data
Limitation /
Notes</t>
  </si>
  <si>
    <t>Registration
Fees
Paid 2025</t>
  </si>
  <si>
    <t>Country of
Primary
Qualification
(most common)</t>
  </si>
  <si>
    <t>Foreign
Nationals</t>
  </si>
  <si>
    <t>PNG
Citizens</t>
  </si>
  <si>
    <t>Unknown
Sex</t>
  </si>
  <si>
    <t>Female
(practising)</t>
  </si>
  <si>
    <t>Male
(practising)</t>
  </si>
  <si>
    <t>Practising
Rate %
(auto)</t>
  </si>
  <si>
    <t>Non-Practising
(registered but
not practising)</t>
  </si>
  <si>
    <t>Practising
Certificate
Holders</t>
  </si>
  <si>
    <t>Active
Registration
(current cycle)</t>
  </si>
  <si>
    <t>Total
Registered
(ever registered)</t>
  </si>
  <si>
    <t>Occupational Category
(Registration class / grade)</t>
  </si>
  <si>
    <t>SECTION A — REGISTERED VS PRACTISING PROFESSIONALS</t>
  </si>
  <si>
    <t>DATA REFERENCE DATE:</t>
  </si>
  <si>
    <t>COUNCIL NAME:</t>
  </si>
  <si>
    <t>PURPOSE: This tool enables each regulatory council to provide the data needed to distinguish between REGISTERED professionals (total on council register) and PRACTISING professionals (those with a current, valid practising certificate). This distinction is the most critical unresolved gap in PNG's NHWA submission. NHWA requires this breakdown for every regulated health cadre. Complete one row per occupational group/registration category. If the council does not maintain practising certificates separately, note this in the 'Data Limitation' column.</t>
  </si>
  <si>
    <t>Module 1 (Practising vs. Non-Practising Distinction)  |  For completion by Medical Board, Nursing Council, Pharmacy Board, Dental Board</t>
  </si>
  <si>
    <t>TOOL 3 — PROFESSIONAL COUNCIL REGISTER TEMPLATE</t>
  </si>
  <si>
    <t>%</t>
  </si>
  <si>
    <t>Rural and remote area allowance as % of base salary (medical)</t>
  </si>
  <si>
    <t>PGK</t>
  </si>
  <si>
    <t>Average annual salary — CHW (entry grade)</t>
  </si>
  <si>
    <t>Average annual salary — Nursing Officer (entry grade)</t>
  </si>
  <si>
    <t>Average annual salary — Medical Officer (entry grade PS13)</t>
  </si>
  <si>
    <t>PGK per person</t>
  </si>
  <si>
    <t>Per capita HWF expenditure (public sector), 2025</t>
  </si>
  <si>
    <t>HWF compensation as % of total government expenditure</t>
  </si>
  <si>
    <t>% — calculate using Section A total ÷ THE</t>
  </si>
  <si>
    <t>HWF compensation as % of THE</t>
  </si>
  <si>
    <t>Government domestic health expenditure (GGHE-D), 2025</t>
  </si>
  <si>
    <t>Total current health expenditure (THE), 2025</t>
  </si>
  <si>
    <t>Source</t>
  </si>
  <si>
    <t>Unit</t>
  </si>
  <si>
    <t>2025 Value</t>
  </si>
  <si>
    <t>Indicator</t>
  </si>
  <si>
    <t>SECTION C — KEY FINANCING INDICATORS FOR NHWA SUBMISSION</t>
  </si>
  <si>
    <t>Other partner 3</t>
  </si>
  <si>
    <t>Other partner 2</t>
  </si>
  <si>
    <t>Other partner 1</t>
  </si>
  <si>
    <t>Health system support</t>
  </si>
  <si>
    <t>GIZ (Germany)</t>
  </si>
  <si>
    <t>Child health and CHW support</t>
  </si>
  <si>
    <t>UNICEF</t>
  </si>
  <si>
    <t>Midwifery and reproductive health</t>
  </si>
  <si>
    <t>UNFPA</t>
  </si>
  <si>
    <t>HIV/TB/Malaria health worker training</t>
  </si>
  <si>
    <t>Global Fund</t>
  </si>
  <si>
    <t>Health workforce training and deployment</t>
  </si>
  <si>
    <t>Australian Government (DFAT)</t>
  </si>
  <si>
    <t>Health system strengthening, HRH</t>
  </si>
  <si>
    <t>World Bank / ADB</t>
  </si>
  <si>
    <t>Technical assistance / NHWA coordination</t>
  </si>
  <si>
    <t>WHO Papua New Guinea</t>
  </si>
  <si>
    <t>Beneficiary Cadres</t>
  </si>
  <si>
    <t>Funding Period</t>
  </si>
  <si>
    <t>2025 Disbursement
(USD)</t>
  </si>
  <si>
    <t>2025 Disbursement
(PGK)</t>
  </si>
  <si>
    <t>Focus Area</t>
  </si>
  <si>
    <t>Development Partner / Programme Name</t>
  </si>
  <si>
    <t>Source: Aid Information Management System (AIMS), development partner reports, or NDoH project records. Enter actual DISBURSEMENTS (funds spent), not commitments (funds pledged). Mark confidence as Low if estimated.</t>
  </si>
  <si>
    <t>SECTION B — DEVELOPMENT PARTNER / EXTERNAL FUNDING FOR HEALTH WORKFORCE</t>
  </si>
  <si>
    <t>TOTAL GOVERNMENT HWF EXPENDITURE</t>
  </si>
  <si>
    <t>Government expenditure on in-service training and CPD</t>
  </si>
  <si>
    <t>IN-SERVICE TRAINING AND CPD</t>
  </si>
  <si>
    <t xml:space="preserve">  Of which: Infrastructure and equipment for training</t>
  </si>
  <si>
    <t xml:space="preserve">  Of which: Institution operational subsidies</t>
  </si>
  <si>
    <t xml:space="preserve">  Of which: Student scholarships and allowances</t>
  </si>
  <si>
    <t>Total government expenditure on pre-service health training</t>
  </si>
  <si>
    <t>PRE-SERVICE TRAINING EXPENDITURE</t>
  </si>
  <si>
    <t>Other employer social contributions</t>
  </si>
  <si>
    <t>Employer contributions to Nambawan Super (superannuation)</t>
  </si>
  <si>
    <t>EMPLOYER SOCIAL CONTRIBUTIONS</t>
  </si>
  <si>
    <t xml:space="preserve">  Of which: Other allowances</t>
  </si>
  <si>
    <t xml:space="preserve">  Of which: Housing and utilities allowance</t>
  </si>
  <si>
    <t xml:space="preserve">  Of which: Rural and remote area allowance</t>
  </si>
  <si>
    <t>Total allowances paid to health workers</t>
  </si>
  <si>
    <t>ALLOWANCES AND IN-KIND BENEFITS</t>
  </si>
  <si>
    <t xml:space="preserve">  Of which: Support staff (drivers, security, domestic)</t>
  </si>
  <si>
    <t xml:space="preserve">  Of which: Health management and administrative staff</t>
  </si>
  <si>
    <t xml:space="preserve">  Of which: CHWs, HEOs, and EHOs</t>
  </si>
  <si>
    <t xml:space="preserve">  Of which: Allied health professionals</t>
  </si>
  <si>
    <t xml:space="preserve">  Of which: Nursing and midwifery personnel</t>
  </si>
  <si>
    <t xml:space="preserve">  Of which: Medical doctors and specialists</t>
  </si>
  <si>
    <t>Total gross salary expenditure — all NDoH and PHA health workers</t>
  </si>
  <si>
    <t>TOTAL SALARIES AND WAGES</t>
  </si>
  <si>
    <t>Notes / Caveats</t>
  </si>
  <si>
    <t>Confidence
(H / M / L)</t>
  </si>
  <si>
    <t>Data Source
(document / system)</t>
  </si>
  <si>
    <t>% Change
2023 to 2025 (auto)</t>
  </si>
  <si>
    <t>3-Year Average
(auto, PGK)</t>
  </si>
  <si>
    <t>2023
(PGK)</t>
  </si>
  <si>
    <t>2024
(PGK)</t>
  </si>
  <si>
    <t>2025
(PGK)</t>
  </si>
  <si>
    <t>Expenditure Category</t>
  </si>
  <si>
    <t>SECTION A — GOVERNMENT HEALTH WORKFORCE COMPENSATION EXPENDITURE</t>
  </si>
  <si>
    <t>MODULE 4 CONTEXT: Papua New Guinea has never submitted any health workforce finance data to the NHWA portal. This tool enables a first-ever Module 4 submission. Complete as much as possible — even partial data is valuable. All figures in Papua New Guinea Kina (PGK) unless stated. Enter actual EXPENDITURE (budget execution), not budget allocations. If USD equivalent is needed for NHWA submission, divide PGK figure by the 2025 annual average exchange rate.</t>
  </si>
  <si>
    <t>Module 4 (Workforce Finance)  |  For completion by NDoH Finance Unit and Department of Treasury</t>
  </si>
  <si>
    <t>TOOL 4 — HEALTH WORKFORCE FINANCE TEMPLATE</t>
  </si>
  <si>
    <t>Alesco Payroll</t>
  </si>
  <si>
    <t>Mod 1</t>
  </si>
  <si>
    <t>Non-clinical support function</t>
  </si>
  <si>
    <t>Environmental Health Officers (who are a clinical cadre)</t>
  </si>
  <si>
    <t>Driver, Security Guard, Cook, Catering, Laundry, Cleaner, Artisan, Electrician, Plumber, Carpenter, Maintenance, Gardener, Porter, Morgue Attendant, Switchboard Operator, Storeman</t>
  </si>
  <si>
    <t>Non-Medical Support Staff</t>
  </si>
  <si>
    <t>Non-clinical management and administrative support. Report separately</t>
  </si>
  <si>
    <t>Clinical staff in management roles (classify by primary clinical function if still practising)</t>
  </si>
  <si>
    <t>Manager (all types), Director (all types), Executive Officer, Administrative Officer, HR Officer, Finance Officer, ICT Officer, Legal Officer, Policy Officer, Disease Control Officer, M&amp;E Officer, GESI Officer, Clerk, Secretary, Receptionist</t>
  </si>
  <si>
    <t>Health Management &amp; Administrative Staff</t>
  </si>
  <si>
    <t>NON-CLINICAL</t>
  </si>
  <si>
    <t>Clinical social work function within a health facility</t>
  </si>
  <si>
    <t>Community Development Officers, General Welfare Officers</t>
  </si>
  <si>
    <t>Medical Social Worker, Medical Social Work Officer, Senior Medical Social Worker</t>
  </si>
  <si>
    <t>Medical Social Workers</t>
  </si>
  <si>
    <t>⚠ 0% female — verify</t>
  </si>
  <si>
    <t>Medical equipment maintenance and repair. Currently 0% female — verify</t>
  </si>
  <si>
    <t>Artisans, Electricians, Maintenance staff</t>
  </si>
  <si>
    <t>Biomedical Engineer, Senior Biomedical Engineer, Biomedical Technician, Biomedical Services Officer, Biomedical Assistant</t>
  </si>
  <si>
    <t>Biomedical Engineers / Technicians</t>
  </si>
  <si>
    <t>New data</t>
  </si>
  <si>
    <t>Technical anaesthesia support only — the medical specialist goes to Specialist Medical Officers</t>
  </si>
  <si>
    <t>Anaesthesiologist (= Specialist Medical Officer)</t>
  </si>
  <si>
    <t>Anaesthetic Scientific Officer, Anaesthetic Technical Officer, Anaesthetic Technical Assistant, Anaesthetic Technician, Anaesthetic Assistant</t>
  </si>
  <si>
    <t>Anaesthetic Officers / Assistants</t>
  </si>
  <si>
    <t>Rehabilitative physical therapy function</t>
  </si>
  <si>
    <t>Occupational Therapist (classify as Other Allied Health)</t>
  </si>
  <si>
    <t>Physiotherapist, Resident Physiotherapist Yr1/Yr2, Senior Physiotherapist, Physiotherapy Technician, Physiotherapy Assistant</t>
  </si>
  <si>
    <t>Physiotherapists</t>
  </si>
  <si>
    <t>Technical imaging roles only. Radiologist = interpreting specialist = Specialist Medical Officer</t>
  </si>
  <si>
    <t>Radiologist (= Specialist Medical Officer)</t>
  </si>
  <si>
    <t>Radiographer, Medical Imaging Technologist, Medical Imaging Technician, X-Ray Assistant, Ultrasonographer, CAT Scan Technologist, Angiography Technologist</t>
  </si>
  <si>
    <t>Medical Imaging Staff</t>
  </si>
  <si>
    <t>MEDICAL IMAGING</t>
  </si>
  <si>
    <t>All laboratory diagnostic and technical roles. Not previously reported on NHWA portal</t>
  </si>
  <si>
    <t>Blood Bank Technicians (unless separately identifiable)</t>
  </si>
  <si>
    <t>Medical Laboratory Technologist, Technician, Scientist, Assistant; Rural Laboratory Technician; Rural Lab Assistant; Public Health Lab Technician</t>
  </si>
  <si>
    <t>Medical Laboratory Staff</t>
  </si>
  <si>
    <t>Sub-pharmacist technical and dispensing roles — new to NHWA portal for PNG</t>
  </si>
  <si>
    <t>Pharmacists</t>
  </si>
  <si>
    <t>Pharmacy Technician, Pharmacy Assistant, Dispenser, Pharmacy Dispenser</t>
  </si>
  <si>
    <t>Pharmacy Technicians / Assistants</t>
  </si>
  <si>
    <t>Alesco + Pharmacy Board</t>
  </si>
  <si>
    <t>⚠ Minor payroll vs. portal discrepancy</t>
  </si>
  <si>
    <t>Registered pharmacist qualification required. Verify with Pharmacy Board</t>
  </si>
  <si>
    <t>Pharmacy Technician, Pharmacy Assistant, Dispenser</t>
  </si>
  <si>
    <t>Pharmacist, Senior Pharmacist, Pharmacy Inspector, Pharmacy Manager</t>
  </si>
  <si>
    <t>Alesco + Dental Board</t>
  </si>
  <si>
    <t>Clinical dental treatment function. Good match between PHA and payroll data</t>
  </si>
  <si>
    <t>Dental Technicians, Dental Assistants</t>
  </si>
  <si>
    <t>Dental Officer, Resident Dental Officer, Dental Therapist, Dental Therapist – [Facility], Dentist, Dental Surgeon</t>
  </si>
  <si>
    <t>Dental Officers / Therapists</t>
  </si>
  <si>
    <t>Public health and environmental sanitation focus</t>
  </si>
  <si>
    <t>Environmental Health Assistants</t>
  </si>
  <si>
    <t>Environmental Health Officer, Hygiene Officer, Hygienist, Public Health Officer, Environment and Hygiene Officer</t>
  </si>
  <si>
    <t>Environmental Health Officers</t>
  </si>
  <si>
    <t>Distinct from CHWs — higher qualification, different role scope</t>
  </si>
  <si>
    <t>Community Health Workers</t>
  </si>
  <si>
    <t>Health Extension Officer (all variants), Resident HEO, HEO – Clinical, HEO – Disease Control, HEO – [Facility name]</t>
  </si>
  <si>
    <t>Health Extension Officers</t>
  </si>
  <si>
    <t>Note: public sector only</t>
  </si>
  <si>
    <t>Payroll covers public-sector CHWs only. Note in submission that large non-payroll CHW population exists</t>
  </si>
  <si>
    <t>Health Extension Officers (separate and distinct cadre)</t>
  </si>
  <si>
    <t>Community Health Worker (CHW Classes 2–6), CHW-Aid Post, Village Health Assistant (VHA)</t>
  </si>
  <si>
    <t>Alesco + Nursing Council</t>
  </si>
  <si>
    <t>⚠ Major undercount — review required</t>
  </si>
  <si>
    <t>41 positions in Jiwaka alone carry midwifery/FHS titles. Currently a SIGNIFICANT UNDERCOUNT nationally — classify all qualifying NOs here</t>
  </si>
  <si>
    <t>All Nursing Officers without midwifery or FHS function in title</t>
  </si>
  <si>
    <t>Nursing Officer – Midwife [any variant], Nursing Officer Midwife – [Facility], Nursing Officer – FHS in charge, Nursing Officer – FHS – [Facility], Nursing Officer – Midwife – [CHP/HC], Midwife (standalone title)</t>
  </si>
  <si>
    <t>Midwifery Personnel</t>
  </si>
  <si>
    <t>⚠ Title-by-title review required</t>
  </si>
  <si>
    <t>Primary function review required nationally before finalising this count — do not assume all Nursing Officers are Nursing Personnel</t>
  </si>
  <si>
    <t>Any Nursing Officer with Midwife, Midwifery, FHS, or Family Health Service in the title</t>
  </si>
  <si>
    <t>Nursing Officer (all classes), General Nursing Officer, Senior Nursing Officer, Specialist Nursing Officer, Senior Specialist Nursing Officer — WHERE the primary function is nursing care, NOT midwifery or FHS</t>
  </si>
  <si>
    <t>Nursing Personnel</t>
  </si>
  <si>
    <t>NURSING AND MIDWIFERY</t>
  </si>
  <si>
    <t>Alesco + Medical Board</t>
  </si>
  <si>
    <t>⚠ Large discrepancy PHA vs payroll — reconcile</t>
  </si>
  <si>
    <t>Most specific category always applies — a named specialist is never a 'Medical Doctor' for NHWA purposes</t>
  </si>
  <si>
    <t>Medical Officers, Resident Medical Officers</t>
  </si>
  <si>
    <t>Specialist Medical Officer (all classes), SSMO, Senior SMO; General Surgeon, Obstetrician/Gynaecologist, Paediatrician, Emergency Physician, Anaesthesiologist, Radiologist, Pathologist, Psychiatrist, Orthopaedic Surgeon, Cardiologist, Neonatologist, and all named specialty roles</t>
  </si>
  <si>
    <t>Specialist Medical Officers</t>
  </si>
  <si>
    <t>Check for SMO keywords BEFORE MO keywords when scanning payroll titles</t>
  </si>
  <si>
    <t>Specialist Medical Officers (SMOs), Resident Dental Officers</t>
  </si>
  <si>
    <t>Medical Officer, Medical Officer/Registrar, Resident Medical Officer Yr1/Yr2, Medical Superintendent, Chief Medical Officer</t>
  </si>
  <si>
    <t>Medical Doctors</t>
  </si>
  <si>
    <t>MEDICAL CADRES</t>
  </si>
  <si>
    <t>Primary
Source System</t>
  </si>
  <si>
    <t>Data
Flag</t>
  </si>
  <si>
    <t>NHWA
Module</t>
  </si>
  <si>
    <t>Key Classification Rule</t>
  </si>
  <si>
    <t>Does NOT Include</t>
  </si>
  <si>
    <t>Maps FROM (Alesco payroll / PHA designation examples)</t>
  </si>
  <si>
    <t>NHWA Occupational Category</t>
  </si>
  <si>
    <t>THREE GUIDING PRINCIPLES: (1) Primary function prevails — classify by what the person primarily DOES, not their grade or title. (2) Most specific category always applies — General Surgeon maps to Specialist Medical Officers, not Medical Doctors. (3) Check most-specific keyword FIRST — check 'Specialist Medical Officer' before 'Medical Officer' in the payroll, or a SSMO will be misclassified.</t>
  </si>
  <si>
    <t>NHWA CADRE MAPPING FRAMEWORK — Papua New Guinea</t>
  </si>
  <si>
    <t>WHO Papua New Guinea Country Office  |  Developed under Output 2, WHO NHWA Consultancy  |  May 2026 | Billy Njoka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</si>
</sst>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Aptos Narrow"/>
      <family val="2"/>
      <scheme val="minor"/>
    </font>
    <font>
      <b/>
      <sz val="16"/>
      <color rgb="FFFFFFFF"/>
      <name val="Arial"/>
      <charset val="1"/>
    </font>
    <font>
      <sz val="10"/>
      <color rgb="FFFFFFFF"/>
      <name val="Arial"/>
      <charset val="1"/>
    </font>
    <font>
      <b/>
      <sz val="10"/>
      <color rgb="FFFFFFFF"/>
      <name val="Arial"/>
      <charset val="1"/>
    </font>
    <font>
      <sz val="10"/>
      <color rgb="FF404040"/>
      <name val="Arial"/>
      <charset val="1"/>
    </font>
    <font>
      <sz val="9"/>
      <color rgb="FF888888"/>
      <name val="Arial"/>
      <charset val="1"/>
    </font>
    <font>
      <sz val="9"/>
      <color rgb="FF404040"/>
      <name val="Arial"/>
      <charset val="1"/>
    </font>
    <font>
      <b/>
      <sz val="10"/>
      <color rgb="FF404040"/>
      <name val="Arial"/>
      <charset val="1"/>
    </font>
    <font>
      <b/>
      <sz val="9"/>
      <color rgb="FF0D2240"/>
      <name val="Arial"/>
      <charset val="1"/>
    </font>
    <font>
      <sz val="11"/>
      <color theme="1"/>
      <name val="Calibri"/>
      <family val="2"/>
      <charset val="1"/>
    </font>
    <font>
      <b/>
      <sz val="11"/>
      <color rgb="FFFFFFFF"/>
      <name val="Arial"/>
      <charset val="1"/>
    </font>
    <font>
      <i/>
      <sz val="9"/>
      <color rgb="FF404040"/>
      <name val="Arial"/>
      <charset val="1"/>
    </font>
    <font>
      <b/>
      <sz val="10"/>
      <color rgb="FF0D2240"/>
      <name val="Arial"/>
      <charset val="1"/>
    </font>
    <font>
      <b/>
      <sz val="9"/>
      <color rgb="FFFFFFFF"/>
      <name val="Arial"/>
      <charset val="1"/>
    </font>
    <font>
      <sz val="9"/>
      <color rgb="FFC0392B"/>
      <name val="Arial"/>
      <charset val="1"/>
    </font>
    <font>
      <i/>
      <sz val="8"/>
      <color rgb="FF888888"/>
      <name val="Arial"/>
      <charset val="1"/>
    </font>
    <font>
      <i/>
      <sz val="10"/>
      <color rgb="FFFFFFFF"/>
      <name val="Arial"/>
      <charset val="1"/>
    </font>
    <font>
      <sz val="11"/>
      <color rgb="FF404040"/>
      <name val="Arial"/>
      <charset val="1"/>
    </font>
    <font>
      <b/>
      <sz val="9.5"/>
      <color rgb="FF0D2240"/>
      <name val="Arial"/>
      <charset val="1"/>
    </font>
    <font>
      <b/>
      <sz val="9"/>
      <color rgb="FFFFFFFF"/>
      <name val="Arial"/>
      <family val="2"/>
    </font>
    <font>
      <sz val="9"/>
      <color theme="1"/>
      <name val="Calibri"/>
      <family val="2"/>
      <charset val="1"/>
    </font>
    <font>
      <i/>
      <sz val="9"/>
      <color rgb="FFFFFFFF"/>
      <name val="Arial"/>
      <family val="2"/>
    </font>
    <font>
      <sz val="9"/>
      <color rgb="FF404040"/>
      <name val="Arial"/>
      <family val="2"/>
    </font>
    <font>
      <b/>
      <sz val="9"/>
      <color rgb="FF1A6FAF"/>
      <name val="Arial"/>
      <family val="2"/>
    </font>
    <font>
      <b/>
      <sz val="9"/>
      <color rgb="FF0D7377"/>
      <name val="Arial"/>
      <family val="2"/>
    </font>
    <font>
      <b/>
      <sz val="9"/>
      <color rgb="FF1A6B2F"/>
      <name val="Arial"/>
      <family val="2"/>
    </font>
    <font>
      <b/>
      <sz val="9"/>
      <color rgb="FFB85C00"/>
      <name val="Arial"/>
      <family val="2"/>
    </font>
    <font>
      <b/>
      <sz val="9"/>
      <color rgb="FFC0392B"/>
      <name val="Arial"/>
      <family val="2"/>
    </font>
    <font>
      <b/>
      <sz val="9"/>
      <color rgb="FF2E75B6"/>
      <name val="Arial"/>
      <family val="2"/>
    </font>
    <font>
      <i/>
      <sz val="9"/>
      <color rgb="FF888888"/>
      <name val="Arial"/>
      <family val="2"/>
    </font>
    <font>
      <i/>
      <sz val="10"/>
      <color rgb="FF404040"/>
      <name val="Arial"/>
      <family val="2"/>
    </font>
    <font>
      <sz val="10"/>
      <color theme="1"/>
      <name val="Calibri"/>
      <family val="2"/>
      <charset val="1"/>
    </font>
    <font>
      <sz val="9"/>
      <color rgb="FFFFFFFF"/>
      <name val="Arial"/>
      <family val="2"/>
    </font>
  </fonts>
  <fills count="19">
    <fill>
      <patternFill patternType="none"/>
    </fill>
    <fill>
      <patternFill patternType="gray125"/>
    </fill>
    <fill>
      <patternFill patternType="solid">
        <fgColor rgb="FFC0392B"/>
        <bgColor rgb="FF993366"/>
      </patternFill>
    </fill>
    <fill>
      <patternFill patternType="solid">
        <fgColor rgb="FF2E75B6"/>
        <bgColor rgb="FF1A6FAF"/>
      </patternFill>
    </fill>
    <fill>
      <patternFill patternType="solid">
        <fgColor rgb="FFFFFFFF"/>
        <bgColor rgb="FFF8F9FA"/>
      </patternFill>
    </fill>
    <fill>
      <patternFill patternType="solid">
        <fgColor rgb="FF0D2240"/>
        <bgColor rgb="FF003300"/>
      </patternFill>
    </fill>
    <fill>
      <patternFill patternType="solid">
        <fgColor rgb="FFF8F9FA"/>
        <bgColor rgb="FFFFFFFF"/>
      </patternFill>
    </fill>
    <fill>
      <patternFill patternType="solid">
        <fgColor rgb="FFFFFDE7"/>
        <bgColor rgb="FFF8F9FA"/>
      </patternFill>
    </fill>
    <fill>
      <patternFill patternType="solid">
        <fgColor rgb="FFFEF3E0"/>
        <bgColor rgb="FFFDECEA"/>
      </patternFill>
    </fill>
    <fill>
      <patternFill patternType="solid">
        <fgColor rgb="FFD5E8F0"/>
        <bgColor rgb="FFE0F4F5"/>
      </patternFill>
    </fill>
    <fill>
      <patternFill patternType="solid">
        <fgColor rgb="FFF2F2F2"/>
        <bgColor rgb="FFEEF2F6"/>
      </patternFill>
    </fill>
    <fill>
      <patternFill patternType="solid">
        <fgColor rgb="FFFDECEA"/>
        <bgColor rgb="FFFEF3E0"/>
      </patternFill>
    </fill>
    <fill>
      <patternFill patternType="solid">
        <fgColor rgb="FFB85C00"/>
        <bgColor rgb="FFC0392B"/>
      </patternFill>
    </fill>
    <fill>
      <patternFill patternType="solid">
        <fgColor rgb="FF1A6B2F"/>
        <bgColor rgb="FF0D7377"/>
      </patternFill>
    </fill>
    <fill>
      <patternFill patternType="solid">
        <fgColor rgb="FF0D7377"/>
        <bgColor rgb="FF008080"/>
      </patternFill>
    </fill>
    <fill>
      <patternFill patternType="solid">
        <fgColor rgb="FF1A6FAF"/>
        <bgColor rgb="FF2E75B6"/>
      </patternFill>
    </fill>
    <fill>
      <patternFill patternType="solid">
        <fgColor rgb="FFE0F4F5"/>
        <bgColor rgb="FFE8EEF4"/>
      </patternFill>
    </fill>
    <fill>
      <patternFill patternType="solid">
        <fgColor rgb="FFEEF2F6"/>
        <bgColor rgb="FFF2F2F2"/>
      </patternFill>
    </fill>
    <fill>
      <patternFill patternType="solid">
        <fgColor rgb="FFE8EEF4"/>
        <bgColor rgb="FFEEF2F6"/>
      </patternFill>
    </fill>
  </fills>
  <borders count="6">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medium">
        <color rgb="FF1A6FAF"/>
      </left>
      <right style="medium">
        <color rgb="FF1A6FAF"/>
      </right>
      <top style="medium">
        <color rgb="FF1A6FAF"/>
      </top>
      <bottom style="medium">
        <color rgb="FF1A6FAF"/>
      </bottom>
      <diagonal/>
    </border>
    <border>
      <left style="thin">
        <color rgb="FFCCCCCC"/>
      </left>
      <right/>
      <top style="thin">
        <color rgb="FFCCCCCC"/>
      </top>
      <bottom/>
      <diagonal/>
    </border>
    <border>
      <left style="medium">
        <color rgb="FF1A6FAF"/>
      </left>
      <right/>
      <top style="medium">
        <color rgb="FF1A6FAF"/>
      </top>
      <bottom style="medium">
        <color rgb="FF1A6FAF"/>
      </bottom>
      <diagonal/>
    </border>
  </borders>
  <cellStyleXfs count="2">
    <xf numFmtId="0" fontId="0" fillId="0" borderId="0"/>
    <xf numFmtId="0" fontId="9" fillId="0" borderId="0"/>
  </cellStyleXfs>
  <cellXfs count="84">
    <xf numFmtId="0" fontId="0" fillId="0" borderId="0" xfId="0"/>
    <xf numFmtId="0" fontId="9" fillId="0" borderId="0" xfId="1"/>
    <xf numFmtId="0" fontId="3" fillId="3" borderId="2" xfId="1" applyFont="1" applyFill="1" applyBorder="1" applyAlignment="1">
      <alignment horizontal="center" vertical="center"/>
    </xf>
    <xf numFmtId="0" fontId="4" fillId="4" borderId="2" xfId="1" applyFont="1" applyFill="1" applyBorder="1" applyAlignment="1">
      <alignment horizontal="left" vertical="center" wrapText="1"/>
    </xf>
    <xf numFmtId="0" fontId="3" fillId="3" borderId="2" xfId="1" applyFont="1" applyFill="1" applyBorder="1" applyAlignment="1">
      <alignment horizontal="left" vertical="center"/>
    </xf>
    <xf numFmtId="0" fontId="6" fillId="7" borderId="2" xfId="1" applyFont="1" applyFill="1" applyBorder="1" applyAlignment="1">
      <alignment horizontal="left" vertical="center"/>
    </xf>
    <xf numFmtId="0" fontId="4" fillId="7" borderId="2" xfId="1" applyFont="1" applyFill="1" applyBorder="1" applyAlignment="1">
      <alignment horizontal="center" vertical="center"/>
    </xf>
    <xf numFmtId="0" fontId="4" fillId="17" borderId="2" xfId="1" applyFont="1" applyFill="1" applyBorder="1" applyAlignment="1">
      <alignment horizontal="center" vertical="center"/>
    </xf>
    <xf numFmtId="0" fontId="13" fillId="15" borderId="2" xfId="1" applyFont="1" applyFill="1" applyBorder="1" applyAlignment="1">
      <alignment horizontal="center" vertical="center" wrapText="1"/>
    </xf>
    <xf numFmtId="0" fontId="3" fillId="5" borderId="2" xfId="1" applyFont="1" applyFill="1" applyBorder="1" applyAlignment="1">
      <alignment horizontal="left" vertical="center"/>
    </xf>
    <xf numFmtId="0" fontId="4" fillId="7" borderId="3" xfId="1" applyFont="1" applyFill="1" applyBorder="1" applyAlignment="1">
      <alignment horizontal="left" vertical="center"/>
    </xf>
    <xf numFmtId="0" fontId="12" fillId="9" borderId="2" xfId="1" applyFont="1" applyFill="1" applyBorder="1" applyAlignment="1">
      <alignment horizontal="left" vertical="center"/>
    </xf>
    <xf numFmtId="0" fontId="4" fillId="7" borderId="2" xfId="1" applyFont="1" applyFill="1" applyBorder="1" applyAlignment="1">
      <alignment horizontal="left" vertical="center"/>
    </xf>
    <xf numFmtId="0" fontId="13" fillId="5" borderId="2" xfId="1" applyFont="1" applyFill="1" applyBorder="1" applyAlignment="1">
      <alignment horizontal="center" vertical="center" wrapText="1"/>
    </xf>
    <xf numFmtId="164" fontId="4" fillId="17" borderId="2" xfId="1" applyNumberFormat="1" applyFont="1" applyFill="1" applyBorder="1" applyAlignment="1">
      <alignment horizontal="center" vertical="center"/>
    </xf>
    <xf numFmtId="0" fontId="4" fillId="4" borderId="2" xfId="1" applyFont="1" applyFill="1" applyBorder="1" applyAlignment="1">
      <alignment horizontal="left" vertical="center"/>
    </xf>
    <xf numFmtId="0" fontId="13" fillId="14" borderId="2" xfId="1" applyFont="1" applyFill="1" applyBorder="1" applyAlignment="1">
      <alignment horizontal="center" vertical="center" wrapText="1"/>
    </xf>
    <xf numFmtId="0" fontId="2" fillId="3" borderId="2" xfId="1" applyFont="1" applyFill="1" applyBorder="1" applyAlignment="1">
      <alignment horizontal="center" vertical="center"/>
    </xf>
    <xf numFmtId="0" fontId="13" fillId="3" borderId="2" xfId="1" applyFont="1" applyFill="1" applyBorder="1" applyAlignment="1">
      <alignment horizontal="center" vertical="center" wrapText="1"/>
    </xf>
    <xf numFmtId="0" fontId="7" fillId="9" borderId="2" xfId="1" applyFont="1" applyFill="1" applyBorder="1" applyAlignment="1">
      <alignment horizontal="center" vertical="center"/>
    </xf>
    <xf numFmtId="164" fontId="7" fillId="9" borderId="2" xfId="1" applyNumberFormat="1" applyFont="1" applyFill="1" applyBorder="1" applyAlignment="1">
      <alignment horizontal="center" vertical="center"/>
    </xf>
    <xf numFmtId="0" fontId="7" fillId="9" borderId="2" xfId="1" applyFont="1" applyFill="1" applyBorder="1" applyAlignment="1">
      <alignment horizontal="left" vertical="center" wrapText="1"/>
    </xf>
    <xf numFmtId="0" fontId="6" fillId="6" borderId="2" xfId="1" applyFont="1" applyFill="1" applyBorder="1" applyAlignment="1">
      <alignment horizontal="left" vertical="center"/>
    </xf>
    <xf numFmtId="0" fontId="5" fillId="6" borderId="2" xfId="1" applyFont="1" applyFill="1" applyBorder="1" applyAlignment="1">
      <alignment horizontal="left" vertical="center" wrapText="1"/>
    </xf>
    <xf numFmtId="0" fontId="13" fillId="12" borderId="2" xfId="1" applyFont="1" applyFill="1" applyBorder="1" applyAlignment="1">
      <alignment horizontal="center" vertical="center" wrapText="1"/>
    </xf>
    <xf numFmtId="0" fontId="5" fillId="6" borderId="2" xfId="1" applyFont="1" applyFill="1" applyBorder="1" applyAlignment="1">
      <alignment horizontal="left" vertical="center"/>
    </xf>
    <xf numFmtId="164" fontId="3" fillId="3" borderId="2" xfId="1" applyNumberFormat="1" applyFont="1" applyFill="1" applyBorder="1" applyAlignment="1">
      <alignment horizontal="center" vertical="center"/>
    </xf>
    <xf numFmtId="0" fontId="6" fillId="4" borderId="2" xfId="1" applyFont="1" applyFill="1" applyBorder="1" applyAlignment="1">
      <alignment horizontal="left" vertical="top" wrapText="1"/>
    </xf>
    <xf numFmtId="0" fontId="18" fillId="4" borderId="2" xfId="1" applyFont="1" applyFill="1" applyBorder="1" applyAlignment="1">
      <alignment horizontal="left" vertical="top" wrapText="1"/>
    </xf>
    <xf numFmtId="0" fontId="6" fillId="6" borderId="2" xfId="1" applyFont="1" applyFill="1" applyBorder="1" applyAlignment="1">
      <alignment horizontal="left" vertical="top" wrapText="1"/>
    </xf>
    <xf numFmtId="0" fontId="18" fillId="6" borderId="2" xfId="1" applyFont="1" applyFill="1" applyBorder="1" applyAlignment="1">
      <alignment horizontal="left" vertical="top" wrapText="1"/>
    </xf>
    <xf numFmtId="0" fontId="6" fillId="8" borderId="2" xfId="1" applyFont="1" applyFill="1" applyBorder="1" applyAlignment="1">
      <alignment horizontal="left" vertical="top" wrapText="1"/>
    </xf>
    <xf numFmtId="0" fontId="3" fillId="15" borderId="2" xfId="1" applyFont="1" applyFill="1" applyBorder="1" applyAlignment="1">
      <alignment horizontal="center" vertical="center" wrapText="1"/>
    </xf>
    <xf numFmtId="0" fontId="8" fillId="9" borderId="2" xfId="1" applyFont="1" applyFill="1" applyBorder="1" applyAlignment="1">
      <alignment horizontal="left" vertical="center"/>
    </xf>
    <xf numFmtId="0" fontId="3" fillId="2" borderId="2" xfId="1" applyFont="1" applyFill="1" applyBorder="1" applyAlignment="1">
      <alignment horizontal="center" vertical="center" wrapText="1"/>
    </xf>
    <xf numFmtId="0" fontId="9" fillId="4" borderId="0" xfId="1" applyFill="1"/>
    <xf numFmtId="0" fontId="10" fillId="5" borderId="1" xfId="1" applyFont="1" applyFill="1" applyBorder="1" applyAlignment="1">
      <alignment horizontal="left" vertical="center"/>
    </xf>
    <xf numFmtId="0" fontId="3" fillId="3" borderId="2" xfId="1" applyFont="1" applyFill="1" applyBorder="1" applyAlignment="1">
      <alignment horizontal="center" vertical="center"/>
    </xf>
    <xf numFmtId="0" fontId="4" fillId="7" borderId="3" xfId="1" applyFont="1" applyFill="1" applyBorder="1" applyAlignment="1">
      <alignment horizontal="left" vertical="center"/>
    </xf>
    <xf numFmtId="0" fontId="1" fillId="5" borderId="1" xfId="1" applyFont="1" applyFill="1" applyBorder="1" applyAlignment="1">
      <alignment horizontal="left" vertical="center"/>
    </xf>
    <xf numFmtId="0" fontId="16" fillId="3" borderId="1" xfId="1" applyFont="1" applyFill="1" applyBorder="1" applyAlignment="1">
      <alignment horizontal="left" vertical="center"/>
    </xf>
    <xf numFmtId="0" fontId="15" fillId="6" borderId="1" xfId="1" applyFont="1" applyFill="1" applyBorder="1" applyAlignment="1">
      <alignment horizontal="left" vertical="center"/>
    </xf>
    <xf numFmtId="0" fontId="12" fillId="18" borderId="2" xfId="1" applyFont="1" applyFill="1" applyBorder="1" applyAlignment="1">
      <alignment horizontal="left" vertical="center"/>
    </xf>
    <xf numFmtId="0" fontId="14" fillId="11" borderId="1" xfId="1" applyFont="1" applyFill="1" applyBorder="1" applyAlignment="1">
      <alignment horizontal="left" vertical="center" wrapText="1"/>
    </xf>
    <xf numFmtId="0" fontId="11" fillId="8" borderId="2" xfId="1" applyFont="1" applyFill="1" applyBorder="1" applyAlignment="1">
      <alignment horizontal="left" vertical="center" wrapText="1"/>
    </xf>
    <xf numFmtId="0" fontId="11" fillId="9" borderId="2" xfId="1" applyFont="1" applyFill="1" applyBorder="1" applyAlignment="1">
      <alignment horizontal="left" vertical="center" wrapText="1"/>
    </xf>
    <xf numFmtId="0" fontId="6" fillId="7" borderId="2" xfId="1" applyFont="1" applyFill="1" applyBorder="1" applyAlignment="1">
      <alignment horizontal="left" vertical="center"/>
    </xf>
    <xf numFmtId="0" fontId="3" fillId="5" borderId="2" xfId="1" applyFont="1" applyFill="1" applyBorder="1" applyAlignment="1">
      <alignment horizontal="left" vertical="center"/>
    </xf>
    <xf numFmtId="0" fontId="11" fillId="11" borderId="2" xfId="1" applyFont="1" applyFill="1" applyBorder="1" applyAlignment="1">
      <alignment horizontal="left" vertical="center" wrapText="1"/>
    </xf>
    <xf numFmtId="0" fontId="17" fillId="7" borderId="5" xfId="1" applyFont="1" applyFill="1" applyBorder="1" applyAlignment="1">
      <alignment horizontal="left" vertical="center"/>
    </xf>
    <xf numFmtId="0" fontId="3" fillId="3" borderId="2" xfId="1" applyFont="1" applyFill="1" applyBorder="1" applyAlignment="1">
      <alignment horizontal="left" vertical="center"/>
    </xf>
    <xf numFmtId="0" fontId="5" fillId="6" borderId="2" xfId="1" applyFont="1" applyFill="1" applyBorder="1" applyAlignment="1">
      <alignment horizontal="left" vertical="center" wrapText="1"/>
    </xf>
    <xf numFmtId="0" fontId="2" fillId="3" borderId="1" xfId="1" applyFont="1" applyFill="1" applyBorder="1" applyAlignment="1">
      <alignment horizontal="left" vertical="center" wrapText="1"/>
    </xf>
    <xf numFmtId="0" fontId="12" fillId="18" borderId="1" xfId="1" applyFont="1" applyFill="1" applyBorder="1" applyAlignment="1">
      <alignment horizontal="left" vertical="center"/>
    </xf>
    <xf numFmtId="0" fontId="3" fillId="5" borderId="1" xfId="1" applyFont="1" applyFill="1" applyBorder="1" applyAlignment="1">
      <alignment horizontal="left" vertical="center"/>
    </xf>
    <xf numFmtId="0" fontId="7" fillId="8" borderId="1" xfId="1" applyFont="1" applyFill="1" applyBorder="1" applyAlignment="1">
      <alignment horizontal="left" vertical="center" wrapText="1"/>
    </xf>
    <xf numFmtId="0" fontId="1" fillId="2" borderId="1" xfId="1" applyFont="1" applyFill="1" applyBorder="1" applyAlignment="1">
      <alignment horizontal="left" vertical="center"/>
    </xf>
    <xf numFmtId="0" fontId="19" fillId="5" borderId="1" xfId="1" applyFont="1" applyFill="1" applyBorder="1" applyAlignment="1">
      <alignment horizontal="center" vertical="center"/>
    </xf>
    <xf numFmtId="0" fontId="20" fillId="0" borderId="0" xfId="1" applyFont="1"/>
    <xf numFmtId="0" fontId="21" fillId="3" borderId="1" xfId="1" applyFont="1" applyFill="1" applyBorder="1" applyAlignment="1">
      <alignment horizontal="center" vertical="center"/>
    </xf>
    <xf numFmtId="0" fontId="20" fillId="4" borderId="0" xfId="1" applyFont="1" applyFill="1"/>
    <xf numFmtId="0" fontId="19" fillId="14" borderId="1" xfId="1" applyFont="1" applyFill="1" applyBorder="1" applyAlignment="1">
      <alignment horizontal="left" vertical="center"/>
    </xf>
    <xf numFmtId="0" fontId="22" fillId="16" borderId="4" xfId="1" applyFont="1" applyFill="1" applyBorder="1" applyAlignment="1">
      <alignment horizontal="left" vertical="top" wrapText="1"/>
    </xf>
    <xf numFmtId="0" fontId="19" fillId="5" borderId="1" xfId="1" applyFont="1" applyFill="1" applyBorder="1" applyAlignment="1">
      <alignment horizontal="left" vertical="center"/>
    </xf>
    <xf numFmtId="0" fontId="19" fillId="15" borderId="2" xfId="1" applyFont="1" applyFill="1" applyBorder="1" applyAlignment="1">
      <alignment horizontal="center" vertical="center"/>
    </xf>
    <xf numFmtId="0" fontId="23" fillId="6" borderId="2" xfId="1" applyFont="1" applyFill="1" applyBorder="1" applyAlignment="1">
      <alignment horizontal="left" vertical="center"/>
    </xf>
    <xf numFmtId="0" fontId="22" fillId="4" borderId="2" xfId="1" applyFont="1" applyFill="1" applyBorder="1" applyAlignment="1">
      <alignment horizontal="left" vertical="center" wrapText="1"/>
    </xf>
    <xf numFmtId="0" fontId="19" fillId="14" borderId="2" xfId="1" applyFont="1" applyFill="1" applyBorder="1" applyAlignment="1">
      <alignment horizontal="center" vertical="center"/>
    </xf>
    <xf numFmtId="0" fontId="24" fillId="6" borderId="2" xfId="1" applyFont="1" applyFill="1" applyBorder="1" applyAlignment="1">
      <alignment horizontal="left" vertical="center"/>
    </xf>
    <xf numFmtId="0" fontId="19" fillId="13" borderId="2" xfId="1" applyFont="1" applyFill="1" applyBorder="1" applyAlignment="1">
      <alignment horizontal="center" vertical="center"/>
    </xf>
    <xf numFmtId="0" fontId="25" fillId="6" borderId="2" xfId="1" applyFont="1" applyFill="1" applyBorder="1" applyAlignment="1">
      <alignment horizontal="left" vertical="center"/>
    </xf>
    <xf numFmtId="0" fontId="19" fillId="12" borderId="2" xfId="1" applyFont="1" applyFill="1" applyBorder="1" applyAlignment="1">
      <alignment horizontal="center" vertical="center"/>
    </xf>
    <xf numFmtId="0" fontId="26" fillId="6" borderId="2" xfId="1" applyFont="1" applyFill="1" applyBorder="1" applyAlignment="1">
      <alignment horizontal="left" vertical="center"/>
    </xf>
    <xf numFmtId="0" fontId="19" fillId="2" borderId="2" xfId="1" applyFont="1" applyFill="1" applyBorder="1" applyAlignment="1">
      <alignment horizontal="center" vertical="center"/>
    </xf>
    <xf numFmtId="0" fontId="27" fillId="6" borderId="2" xfId="1" applyFont="1" applyFill="1" applyBorder="1" applyAlignment="1">
      <alignment horizontal="left" vertical="center"/>
    </xf>
    <xf numFmtId="0" fontId="19" fillId="3" borderId="2" xfId="1" applyFont="1" applyFill="1" applyBorder="1" applyAlignment="1">
      <alignment horizontal="center" vertical="center"/>
    </xf>
    <xf numFmtId="0" fontId="28" fillId="6" borderId="2" xfId="1" applyFont="1" applyFill="1" applyBorder="1" applyAlignment="1">
      <alignment horizontal="left" vertical="center"/>
    </xf>
    <xf numFmtId="0" fontId="19" fillId="2" borderId="1" xfId="1" applyFont="1" applyFill="1" applyBorder="1" applyAlignment="1">
      <alignment horizontal="left" vertical="center"/>
    </xf>
    <xf numFmtId="0" fontId="27" fillId="11" borderId="2" xfId="1" applyFont="1" applyFill="1" applyBorder="1" applyAlignment="1">
      <alignment horizontal="center" vertical="center"/>
    </xf>
    <xf numFmtId="0" fontId="22" fillId="11" borderId="2" xfId="1" applyFont="1" applyFill="1" applyBorder="1" applyAlignment="1">
      <alignment horizontal="left" vertical="center" wrapText="1"/>
    </xf>
    <xf numFmtId="0" fontId="29" fillId="10" borderId="4" xfId="1" applyFont="1" applyFill="1" applyBorder="1" applyAlignment="1">
      <alignment horizontal="left" vertical="center" wrapText="1"/>
    </xf>
    <xf numFmtId="0" fontId="30" fillId="11" borderId="2" xfId="1" applyFont="1" applyFill="1" applyBorder="1" applyAlignment="1">
      <alignment horizontal="left" vertical="center" wrapText="1"/>
    </xf>
    <xf numFmtId="0" fontId="31" fillId="0" borderId="0" xfId="1" applyFont="1"/>
    <xf numFmtId="0" fontId="32" fillId="3" borderId="1" xfId="1" applyFont="1" applyFill="1" applyBorder="1" applyAlignment="1">
      <alignment horizontal="left" vertical="center" wrapText="1"/>
    </xf>
  </cellXfs>
  <cellStyles count="2">
    <cellStyle name="Normal" xfId="0" builtinId="0"/>
    <cellStyle name="Normal 2" xfId="1" xr:uid="{36C4ED37-8A30-48C7-B301-D27099D038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E4EB-7B6B-4210-9EE1-900FF5A22DFE}">
  <dimension ref="A1:C34"/>
  <sheetViews>
    <sheetView showGridLines="0" topLeftCell="A21" zoomScaleNormal="100" workbookViewId="0">
      <selection activeCell="B20" sqref="B20:B21"/>
    </sheetView>
  </sheetViews>
  <sheetFormatPr defaultColWidth="8.6328125" defaultRowHeight="12" x14ac:dyDescent="0.3"/>
  <cols>
    <col min="1" max="1" width="12" style="58" customWidth="1"/>
    <col min="2" max="2" width="32" style="58" customWidth="1"/>
    <col min="3" max="3" width="72" style="58" customWidth="1"/>
    <col min="4" max="16384" width="8.6328125" style="58"/>
  </cols>
  <sheetData>
    <row r="1" spans="1:3" ht="37.5" customHeight="1" x14ac:dyDescent="0.3">
      <c r="A1" s="57" t="s">
        <v>122</v>
      </c>
      <c r="B1" s="57"/>
      <c r="C1" s="57"/>
    </row>
    <row r="2" spans="1:3" ht="21.75" customHeight="1" x14ac:dyDescent="0.3">
      <c r="A2" s="59" t="s">
        <v>556</v>
      </c>
      <c r="B2" s="59"/>
      <c r="C2" s="59"/>
    </row>
    <row r="3" spans="1:3" ht="9.75" customHeight="1" x14ac:dyDescent="0.3">
      <c r="A3" s="60"/>
      <c r="B3" s="60"/>
      <c r="C3" s="60"/>
    </row>
    <row r="4" spans="1:3" ht="19.5" customHeight="1" x14ac:dyDescent="0.3">
      <c r="A4" s="61" t="s">
        <v>121</v>
      </c>
      <c r="B4" s="61"/>
      <c r="C4" s="61"/>
    </row>
    <row r="5" spans="1:3" ht="18" customHeight="1" x14ac:dyDescent="0.3">
      <c r="A5" s="62" t="s">
        <v>120</v>
      </c>
      <c r="B5" s="62"/>
      <c r="C5" s="62"/>
    </row>
    <row r="6" spans="1:3" ht="18" customHeight="1" x14ac:dyDescent="0.3">
      <c r="A6" s="62"/>
      <c r="B6" s="62"/>
      <c r="C6" s="62"/>
    </row>
    <row r="7" spans="1:3" x14ac:dyDescent="0.3">
      <c r="A7" s="62"/>
      <c r="B7" s="62"/>
      <c r="C7" s="62"/>
    </row>
    <row r="8" spans="1:3" ht="9.75" customHeight="1" x14ac:dyDescent="0.3">
      <c r="A8" s="60"/>
      <c r="B8" s="60"/>
      <c r="C8" s="60"/>
    </row>
    <row r="9" spans="1:3" ht="19.5" customHeight="1" x14ac:dyDescent="0.3">
      <c r="A9" s="63" t="s">
        <v>119</v>
      </c>
      <c r="B9" s="63"/>
      <c r="C9" s="63"/>
    </row>
    <row r="10" spans="1:3" ht="25.5" customHeight="1" x14ac:dyDescent="0.3">
      <c r="A10" s="64" t="s">
        <v>118</v>
      </c>
      <c r="B10" s="65" t="s">
        <v>117</v>
      </c>
      <c r="C10" s="66" t="s">
        <v>116</v>
      </c>
    </row>
    <row r="11" spans="1:3" ht="25.5" customHeight="1" x14ac:dyDescent="0.3">
      <c r="A11" s="64"/>
      <c r="B11" s="64"/>
      <c r="C11" s="64"/>
    </row>
    <row r="12" spans="1:3" ht="25.5" customHeight="1" x14ac:dyDescent="0.3">
      <c r="A12" s="67" t="s">
        <v>115</v>
      </c>
      <c r="B12" s="68" t="s">
        <v>114</v>
      </c>
      <c r="C12" s="66" t="s">
        <v>113</v>
      </c>
    </row>
    <row r="13" spans="1:3" ht="25.5" customHeight="1" x14ac:dyDescent="0.3">
      <c r="A13" s="67"/>
      <c r="B13" s="67"/>
      <c r="C13" s="67"/>
    </row>
    <row r="14" spans="1:3" ht="25.5" customHeight="1" x14ac:dyDescent="0.3">
      <c r="A14" s="69" t="s">
        <v>112</v>
      </c>
      <c r="B14" s="70" t="s">
        <v>111</v>
      </c>
      <c r="C14" s="66" t="s">
        <v>110</v>
      </c>
    </row>
    <row r="15" spans="1:3" ht="25.5" customHeight="1" x14ac:dyDescent="0.3">
      <c r="A15" s="69"/>
      <c r="B15" s="69"/>
      <c r="C15" s="69"/>
    </row>
    <row r="16" spans="1:3" ht="25.5" customHeight="1" x14ac:dyDescent="0.3">
      <c r="A16" s="71" t="s">
        <v>109</v>
      </c>
      <c r="B16" s="72" t="s">
        <v>108</v>
      </c>
      <c r="C16" s="66" t="s">
        <v>107</v>
      </c>
    </row>
    <row r="17" spans="1:3" ht="25.5" customHeight="1" x14ac:dyDescent="0.3">
      <c r="A17" s="71"/>
      <c r="B17" s="71"/>
      <c r="C17" s="71"/>
    </row>
    <row r="18" spans="1:3" ht="25.5" customHeight="1" x14ac:dyDescent="0.3">
      <c r="A18" s="73" t="s">
        <v>106</v>
      </c>
      <c r="B18" s="74" t="s">
        <v>105</v>
      </c>
      <c r="C18" s="66" t="s">
        <v>104</v>
      </c>
    </row>
    <row r="19" spans="1:3" ht="25.5" customHeight="1" x14ac:dyDescent="0.3">
      <c r="A19" s="73"/>
      <c r="B19" s="73"/>
      <c r="C19" s="73"/>
    </row>
    <row r="20" spans="1:3" ht="25.5" customHeight="1" x14ac:dyDescent="0.3">
      <c r="A20" s="75" t="s">
        <v>103</v>
      </c>
      <c r="B20" s="76" t="s">
        <v>102</v>
      </c>
      <c r="C20" s="66" t="s">
        <v>101</v>
      </c>
    </row>
    <row r="21" spans="1:3" ht="25.5" customHeight="1" x14ac:dyDescent="0.3">
      <c r="A21" s="75"/>
      <c r="B21" s="75"/>
      <c r="C21" s="75"/>
    </row>
    <row r="22" spans="1:3" ht="9.75" customHeight="1" x14ac:dyDescent="0.3">
      <c r="A22" s="60"/>
      <c r="B22" s="60"/>
      <c r="C22" s="60"/>
    </row>
    <row r="23" spans="1:3" ht="19.5" customHeight="1" x14ac:dyDescent="0.3">
      <c r="A23" s="77" t="s">
        <v>100</v>
      </c>
      <c r="B23" s="77"/>
      <c r="C23" s="77"/>
    </row>
    <row r="24" spans="1:3" ht="21.75" customHeight="1" x14ac:dyDescent="0.3">
      <c r="A24" s="78" t="s">
        <v>99</v>
      </c>
      <c r="B24" s="79" t="s">
        <v>98</v>
      </c>
      <c r="C24" s="79"/>
    </row>
    <row r="25" spans="1:3" ht="21.75" customHeight="1" x14ac:dyDescent="0.3">
      <c r="A25" s="78" t="s">
        <v>97</v>
      </c>
      <c r="B25" s="79" t="s">
        <v>96</v>
      </c>
      <c r="C25" s="79"/>
    </row>
    <row r="26" spans="1:3" ht="21.75" customHeight="1" x14ac:dyDescent="0.3">
      <c r="A26" s="78" t="s">
        <v>95</v>
      </c>
      <c r="B26" s="79" t="s">
        <v>94</v>
      </c>
      <c r="C26" s="79"/>
    </row>
    <row r="27" spans="1:3" ht="21.75" customHeight="1" x14ac:dyDescent="0.3">
      <c r="A27" s="78" t="s">
        <v>93</v>
      </c>
      <c r="B27" s="79" t="s">
        <v>92</v>
      </c>
      <c r="C27" s="79"/>
    </row>
    <row r="28" spans="1:3" ht="21.75" customHeight="1" x14ac:dyDescent="0.3">
      <c r="A28" s="78" t="s">
        <v>91</v>
      </c>
      <c r="B28" s="79" t="s">
        <v>90</v>
      </c>
      <c r="C28" s="79"/>
    </row>
    <row r="29" spans="1:3" ht="21.75" customHeight="1" x14ac:dyDescent="0.3">
      <c r="A29" s="78" t="s">
        <v>89</v>
      </c>
      <c r="B29" s="79" t="s">
        <v>88</v>
      </c>
      <c r="C29" s="79"/>
    </row>
    <row r="30" spans="1:3" ht="21.75" customHeight="1" x14ac:dyDescent="0.3">
      <c r="A30" s="78" t="s">
        <v>87</v>
      </c>
      <c r="B30" s="79" t="s">
        <v>86</v>
      </c>
      <c r="C30" s="79"/>
    </row>
    <row r="31" spans="1:3" ht="21.75" customHeight="1" x14ac:dyDescent="0.3">
      <c r="A31" s="78" t="s">
        <v>85</v>
      </c>
      <c r="B31" s="79" t="s">
        <v>84</v>
      </c>
      <c r="C31" s="79"/>
    </row>
    <row r="32" spans="1:3" ht="21.75" customHeight="1" x14ac:dyDescent="0.3">
      <c r="A32" s="78" t="s">
        <v>83</v>
      </c>
      <c r="B32" s="79" t="s">
        <v>82</v>
      </c>
      <c r="C32" s="79"/>
    </row>
    <row r="33" spans="1:3" ht="18" customHeight="1" x14ac:dyDescent="0.3">
      <c r="A33" s="80" t="s">
        <v>81</v>
      </c>
      <c r="B33" s="80"/>
      <c r="C33" s="80"/>
    </row>
    <row r="34" spans="1:3" ht="18" customHeight="1" x14ac:dyDescent="0.3">
      <c r="A34" s="80"/>
      <c r="B34" s="80"/>
      <c r="C34" s="80"/>
    </row>
  </sheetData>
  <mergeCells count="37">
    <mergeCell ref="B24:C24"/>
    <mergeCell ref="B25:C25"/>
    <mergeCell ref="B26:C26"/>
    <mergeCell ref="B27:C27"/>
    <mergeCell ref="B28:C28"/>
    <mergeCell ref="B29:C29"/>
    <mergeCell ref="B30:C30"/>
    <mergeCell ref="B31:C31"/>
    <mergeCell ref="B32:C32"/>
    <mergeCell ref="A33:C34"/>
    <mergeCell ref="A20:A21"/>
    <mergeCell ref="B20:B21"/>
    <mergeCell ref="C20:C21"/>
    <mergeCell ref="A22:C22"/>
    <mergeCell ref="A23:C23"/>
    <mergeCell ref="C18:C19"/>
    <mergeCell ref="A12:A13"/>
    <mergeCell ref="B12:B13"/>
    <mergeCell ref="C12:C13"/>
    <mergeCell ref="A14:A15"/>
    <mergeCell ref="B14:B15"/>
    <mergeCell ref="C14:C15"/>
    <mergeCell ref="A16:A17"/>
    <mergeCell ref="B16:B17"/>
    <mergeCell ref="C16:C17"/>
    <mergeCell ref="A18:A19"/>
    <mergeCell ref="B18:B19"/>
    <mergeCell ref="A1:C1"/>
    <mergeCell ref="A2:C2"/>
    <mergeCell ref="A3:C3"/>
    <mergeCell ref="A4:C4"/>
    <mergeCell ref="A5:C7"/>
    <mergeCell ref="A8:C8"/>
    <mergeCell ref="A9:C9"/>
    <mergeCell ref="A10:A11"/>
    <mergeCell ref="B10:B11"/>
    <mergeCell ref="C10:C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9189-D3E2-4357-8AE1-D433250B9EBB}">
  <dimension ref="A1:R92"/>
  <sheetViews>
    <sheetView showGridLines="0" tabSelected="1" zoomScaleNormal="100" workbookViewId="0">
      <pane xSplit="1" ySplit="11" topLeftCell="B12" activePane="bottomRight" state="frozen"/>
      <selection activeCell="B10" sqref="B10:B11"/>
      <selection pane="topRight" activeCell="B10" sqref="B10:B11"/>
      <selection pane="bottomLeft" activeCell="B10" sqref="B10:B11"/>
      <selection pane="bottomRight" activeCell="A15" sqref="A15:R15"/>
    </sheetView>
  </sheetViews>
  <sheetFormatPr defaultColWidth="8.6328125" defaultRowHeight="14.5" x14ac:dyDescent="0.35"/>
  <cols>
    <col min="1" max="1" width="34" style="1" customWidth="1"/>
    <col min="2" max="4" width="7" style="1" customWidth="1"/>
    <col min="5" max="5" width="9" style="1" customWidth="1"/>
    <col min="6" max="10" width="7" style="1" customWidth="1"/>
    <col min="11" max="11" width="9" style="1" customWidth="1"/>
    <col min="12" max="16" width="11" style="1" customWidth="1"/>
    <col min="17" max="17" width="14" style="1" customWidth="1"/>
    <col min="18" max="18" width="16" style="1" customWidth="1"/>
    <col min="19" max="16384" width="8.6328125" style="1"/>
  </cols>
  <sheetData>
    <row r="1" spans="1:18" ht="33.75" customHeight="1" x14ac:dyDescent="0.35">
      <c r="A1" s="39" t="s">
        <v>234</v>
      </c>
      <c r="B1" s="39"/>
      <c r="C1" s="39"/>
      <c r="D1" s="39"/>
      <c r="E1" s="39"/>
      <c r="F1" s="39"/>
      <c r="G1" s="39"/>
      <c r="H1" s="39"/>
      <c r="I1" s="39"/>
      <c r="J1" s="39"/>
      <c r="K1" s="39"/>
      <c r="L1" s="39"/>
      <c r="M1" s="39"/>
      <c r="N1" s="39"/>
      <c r="O1" s="39"/>
      <c r="P1" s="39"/>
      <c r="Q1" s="39"/>
      <c r="R1" s="39"/>
    </row>
    <row r="2" spans="1:18" ht="18" customHeight="1" x14ac:dyDescent="0.35">
      <c r="A2" s="40" t="s">
        <v>233</v>
      </c>
      <c r="B2" s="40"/>
      <c r="C2" s="40"/>
      <c r="D2" s="40"/>
      <c r="E2" s="40"/>
      <c r="F2" s="40"/>
      <c r="G2" s="40"/>
      <c r="H2" s="40"/>
      <c r="I2" s="40"/>
      <c r="J2" s="40"/>
      <c r="K2" s="40"/>
      <c r="L2" s="40"/>
      <c r="M2" s="40"/>
      <c r="N2" s="40"/>
      <c r="O2" s="40"/>
      <c r="P2" s="40"/>
      <c r="Q2" s="40"/>
      <c r="R2" s="40"/>
    </row>
    <row r="3" spans="1:18" ht="13.5" customHeight="1" x14ac:dyDescent="0.35">
      <c r="A3" s="41" t="s">
        <v>232</v>
      </c>
      <c r="B3" s="41"/>
      <c r="C3" s="41"/>
      <c r="D3" s="41"/>
      <c r="E3" s="41"/>
      <c r="F3" s="41"/>
      <c r="G3" s="41"/>
      <c r="H3" s="41"/>
      <c r="I3" s="41"/>
      <c r="J3" s="41"/>
      <c r="K3" s="41"/>
      <c r="L3" s="41"/>
      <c r="M3" s="41"/>
      <c r="N3" s="41"/>
      <c r="O3" s="41"/>
      <c r="P3" s="41"/>
      <c r="Q3" s="41"/>
      <c r="R3" s="41"/>
    </row>
    <row r="4" spans="1:18" ht="6" customHeight="1" x14ac:dyDescent="0.35">
      <c r="A4" s="35"/>
      <c r="B4" s="35"/>
      <c r="C4" s="35"/>
      <c r="D4" s="35"/>
      <c r="E4" s="35"/>
      <c r="F4" s="35"/>
      <c r="G4" s="35"/>
      <c r="H4" s="35"/>
      <c r="I4" s="35"/>
      <c r="J4" s="35"/>
      <c r="K4" s="35"/>
      <c r="L4" s="35"/>
      <c r="M4" s="35"/>
      <c r="N4" s="35"/>
      <c r="O4" s="35"/>
      <c r="P4" s="35"/>
      <c r="Q4" s="35"/>
      <c r="R4" s="35"/>
    </row>
    <row r="5" spans="1:18" ht="18" customHeight="1" thickBot="1" x14ac:dyDescent="0.4">
      <c r="A5" s="11" t="s">
        <v>231</v>
      </c>
      <c r="D5" s="11" t="s">
        <v>230</v>
      </c>
      <c r="G5" s="11" t="s">
        <v>229</v>
      </c>
      <c r="K5" s="11" t="s">
        <v>228</v>
      </c>
      <c r="O5" s="11" t="s">
        <v>79</v>
      </c>
    </row>
    <row r="6" spans="1:18" ht="21.75" customHeight="1" thickBot="1" x14ac:dyDescent="0.4">
      <c r="A6" s="38"/>
      <c r="B6" s="38"/>
      <c r="D6" s="38"/>
      <c r="E6" s="38"/>
      <c r="G6" s="38"/>
      <c r="H6" s="38"/>
      <c r="I6" s="38"/>
      <c r="K6" s="38"/>
      <c r="L6" s="38"/>
      <c r="M6" s="38"/>
      <c r="O6" s="38"/>
      <c r="P6" s="38"/>
    </row>
    <row r="7" spans="1:18" ht="25.5" customHeight="1" x14ac:dyDescent="0.35">
      <c r="A7" s="43" t="s">
        <v>227</v>
      </c>
      <c r="B7" s="43"/>
      <c r="C7" s="43"/>
      <c r="D7" s="43"/>
      <c r="E7" s="43"/>
      <c r="F7" s="43"/>
      <c r="G7" s="43"/>
      <c r="H7" s="43"/>
      <c r="I7" s="43"/>
      <c r="J7" s="43"/>
      <c r="K7" s="43"/>
      <c r="L7" s="43"/>
      <c r="M7" s="43"/>
      <c r="N7" s="43"/>
      <c r="O7" s="43"/>
      <c r="P7" s="43"/>
      <c r="Q7" s="43"/>
      <c r="R7" s="43"/>
    </row>
    <row r="8" spans="1:18" ht="6" customHeight="1" x14ac:dyDescent="0.35">
      <c r="A8" s="35"/>
      <c r="B8" s="35"/>
      <c r="C8" s="35"/>
      <c r="D8" s="35"/>
      <c r="E8" s="35"/>
      <c r="F8" s="35"/>
      <c r="G8" s="35"/>
      <c r="H8" s="35"/>
      <c r="I8" s="35"/>
      <c r="J8" s="35"/>
      <c r="K8" s="35"/>
      <c r="L8" s="35"/>
      <c r="M8" s="35"/>
      <c r="N8" s="35"/>
      <c r="O8" s="35"/>
      <c r="P8" s="35"/>
      <c r="Q8" s="35"/>
      <c r="R8" s="35"/>
    </row>
    <row r="9" spans="1:18" ht="37.5" customHeight="1" x14ac:dyDescent="0.35">
      <c r="A9" s="44" t="s">
        <v>226</v>
      </c>
      <c r="B9" s="44"/>
      <c r="C9" s="44"/>
      <c r="D9" s="44"/>
      <c r="E9" s="44"/>
      <c r="F9" s="44"/>
      <c r="G9" s="44"/>
      <c r="H9" s="44"/>
      <c r="I9" s="44"/>
      <c r="J9" s="44"/>
      <c r="K9" s="44"/>
      <c r="L9" s="44"/>
      <c r="M9" s="44"/>
      <c r="N9" s="44"/>
      <c r="O9" s="44"/>
      <c r="P9" s="44"/>
      <c r="Q9" s="44"/>
      <c r="R9" s="44"/>
    </row>
    <row r="10" spans="1:18" ht="18" customHeight="1" x14ac:dyDescent="0.35">
      <c r="A10" s="9" t="s">
        <v>225</v>
      </c>
      <c r="B10" s="37" t="s">
        <v>224</v>
      </c>
      <c r="C10" s="37"/>
      <c r="D10" s="37"/>
      <c r="E10" s="37" t="s">
        <v>223</v>
      </c>
      <c r="F10" s="37"/>
      <c r="G10" s="37"/>
      <c r="H10" s="37"/>
      <c r="I10" s="37"/>
      <c r="J10" s="37"/>
      <c r="K10" s="37"/>
      <c r="L10" s="37" t="s">
        <v>222</v>
      </c>
      <c r="M10" s="37"/>
      <c r="N10" s="37"/>
      <c r="O10" s="37" t="s">
        <v>221</v>
      </c>
      <c r="P10" s="37"/>
      <c r="Q10" s="37"/>
      <c r="R10" s="37"/>
    </row>
    <row r="11" spans="1:18" ht="39.75" customHeight="1" x14ac:dyDescent="0.35">
      <c r="A11" s="8" t="s">
        <v>220</v>
      </c>
      <c r="B11" s="8" t="s">
        <v>219</v>
      </c>
      <c r="C11" s="8" t="s">
        <v>218</v>
      </c>
      <c r="D11" s="8" t="s">
        <v>217</v>
      </c>
      <c r="E11" s="8" t="s">
        <v>216</v>
      </c>
      <c r="F11" s="8" t="s">
        <v>215</v>
      </c>
      <c r="G11" s="8" t="s">
        <v>214</v>
      </c>
      <c r="H11" s="8" t="s">
        <v>213</v>
      </c>
      <c r="I11" s="8" t="s">
        <v>212</v>
      </c>
      <c r="J11" s="8" t="s">
        <v>211</v>
      </c>
      <c r="K11" s="8" t="s">
        <v>210</v>
      </c>
      <c r="L11" s="8" t="s">
        <v>209</v>
      </c>
      <c r="M11" s="8" t="s">
        <v>208</v>
      </c>
      <c r="N11" s="8" t="s">
        <v>207</v>
      </c>
      <c r="O11" s="8" t="s">
        <v>206</v>
      </c>
      <c r="P11" s="8" t="s">
        <v>205</v>
      </c>
      <c r="Q11" s="8" t="s">
        <v>204</v>
      </c>
      <c r="R11" s="8" t="s">
        <v>203</v>
      </c>
    </row>
    <row r="12" spans="1:18" ht="18" customHeight="1" x14ac:dyDescent="0.35">
      <c r="A12" s="42" t="s">
        <v>202</v>
      </c>
      <c r="B12" s="42"/>
      <c r="C12" s="42"/>
      <c r="D12" s="42"/>
      <c r="E12" s="42"/>
      <c r="F12" s="42"/>
      <c r="G12" s="42"/>
      <c r="H12" s="42"/>
      <c r="I12" s="42"/>
      <c r="J12" s="42"/>
      <c r="K12" s="42"/>
      <c r="L12" s="42"/>
      <c r="M12" s="42"/>
      <c r="N12" s="42"/>
      <c r="O12" s="42"/>
      <c r="P12" s="42"/>
      <c r="Q12" s="42"/>
      <c r="R12" s="42"/>
    </row>
    <row r="13" spans="1:18" ht="25" x14ac:dyDescent="0.35">
      <c r="A13" s="3" t="s">
        <v>201</v>
      </c>
      <c r="B13" s="6"/>
      <c r="C13" s="6"/>
      <c r="D13" s="7" t="str">
        <f>IF(OR(B13&lt;&gt;"",C13&lt;&gt;""),IFERROR(IF(ISNUMBER(B13),B13,0)+IF(ISNUMBER(C13),C13,0),""),"")</f>
        <v/>
      </c>
      <c r="E13" s="6"/>
      <c r="F13" s="6"/>
      <c r="G13" s="6"/>
      <c r="H13" s="6"/>
      <c r="I13" s="6"/>
      <c r="J13" s="6"/>
      <c r="K13" s="7" t="str">
        <f>IF(COUNTA(E13:J13)&gt;0,SUM(E13:J13),"")</f>
        <v/>
      </c>
      <c r="L13" s="6"/>
      <c r="M13" s="6"/>
      <c r="N13" s="7" t="str">
        <f>IF(AND(L13&lt;&gt;"",M13&lt;&gt;""),L13-M13,"")</f>
        <v/>
      </c>
      <c r="O13" s="6"/>
      <c r="P13" s="6"/>
      <c r="Q13" s="6"/>
      <c r="R13" s="5"/>
    </row>
    <row r="14" spans="1:18" ht="19.5" customHeight="1" x14ac:dyDescent="0.35">
      <c r="A14" s="3" t="s">
        <v>200</v>
      </c>
      <c r="B14" s="6"/>
      <c r="C14" s="6"/>
      <c r="D14" s="7" t="str">
        <f>IF(OR(B14&lt;&gt;"",C14&lt;&gt;""),IFERROR(IF(ISNUMBER(B14),B14,0)+IF(ISNUMBER(C14),C14,0),""),"")</f>
        <v/>
      </c>
      <c r="E14" s="6"/>
      <c r="F14" s="6"/>
      <c r="G14" s="6"/>
      <c r="H14" s="6"/>
      <c r="I14" s="6"/>
      <c r="J14" s="6"/>
      <c r="K14" s="7" t="str">
        <f>IF(COUNTA(E14:J14)&gt;0,SUM(E14:J14),"")</f>
        <v/>
      </c>
      <c r="L14" s="6"/>
      <c r="M14" s="6"/>
      <c r="N14" s="7" t="str">
        <f>IF(AND(L14&lt;&gt;"",M14&lt;&gt;""),L14-M14,"")</f>
        <v/>
      </c>
      <c r="O14" s="6"/>
      <c r="P14" s="6"/>
      <c r="Q14" s="6"/>
      <c r="R14" s="5"/>
    </row>
    <row r="15" spans="1:18" ht="18" customHeight="1" x14ac:dyDescent="0.35">
      <c r="A15" s="42" t="s">
        <v>199</v>
      </c>
      <c r="B15" s="42"/>
      <c r="C15" s="42"/>
      <c r="D15" s="42"/>
      <c r="E15" s="42"/>
      <c r="F15" s="42"/>
      <c r="G15" s="42"/>
      <c r="H15" s="42"/>
      <c r="I15" s="42"/>
      <c r="J15" s="42"/>
      <c r="K15" s="42"/>
      <c r="L15" s="42"/>
      <c r="M15" s="42"/>
      <c r="N15" s="42"/>
      <c r="O15" s="42"/>
      <c r="P15" s="42"/>
      <c r="Q15" s="42"/>
      <c r="R15" s="42"/>
    </row>
    <row r="16" spans="1:18" ht="19.5" customHeight="1" x14ac:dyDescent="0.35">
      <c r="A16" s="3" t="s">
        <v>198</v>
      </c>
      <c r="B16" s="6"/>
      <c r="C16" s="6"/>
      <c r="D16" s="7" t="str">
        <f t="shared" ref="D16:D23" si="0">IF(OR(B16&lt;&gt;"",C16&lt;&gt;""),IFERROR(IF(ISNUMBER(B16),B16,0)+IF(ISNUMBER(C16),C16,0),""),"")</f>
        <v/>
      </c>
      <c r="E16" s="6"/>
      <c r="F16" s="6"/>
      <c r="G16" s="6"/>
      <c r="H16" s="6"/>
      <c r="I16" s="6"/>
      <c r="J16" s="6"/>
      <c r="K16" s="7" t="str">
        <f t="shared" ref="K16:K23" si="1">IF(COUNTA(E16:J16)&gt;0,SUM(E16:J16),"")</f>
        <v/>
      </c>
      <c r="L16" s="6"/>
      <c r="M16" s="6"/>
      <c r="N16" s="7" t="str">
        <f t="shared" ref="N16:N23" si="2">IF(AND(L16&lt;&gt;"",M16&lt;&gt;""),L16-M16,"")</f>
        <v/>
      </c>
      <c r="O16" s="6"/>
      <c r="P16" s="6"/>
      <c r="Q16" s="6"/>
      <c r="R16" s="5"/>
    </row>
    <row r="17" spans="1:18" ht="19.5" customHeight="1" x14ac:dyDescent="0.35">
      <c r="A17" s="3" t="s">
        <v>197</v>
      </c>
      <c r="B17" s="6"/>
      <c r="C17" s="6"/>
      <c r="D17" s="7" t="str">
        <f t="shared" si="0"/>
        <v/>
      </c>
      <c r="E17" s="6"/>
      <c r="F17" s="6"/>
      <c r="G17" s="6"/>
      <c r="H17" s="6"/>
      <c r="I17" s="6"/>
      <c r="J17" s="6"/>
      <c r="K17" s="7" t="str">
        <f t="shared" si="1"/>
        <v/>
      </c>
      <c r="L17" s="6"/>
      <c r="M17" s="6"/>
      <c r="N17" s="7" t="str">
        <f t="shared" si="2"/>
        <v/>
      </c>
      <c r="O17" s="6"/>
      <c r="P17" s="6"/>
      <c r="Q17" s="6"/>
      <c r="R17" s="5"/>
    </row>
    <row r="18" spans="1:18" ht="19.5" customHeight="1" x14ac:dyDescent="0.35">
      <c r="A18" s="3" t="s">
        <v>196</v>
      </c>
      <c r="B18" s="6"/>
      <c r="C18" s="6"/>
      <c r="D18" s="7" t="str">
        <f t="shared" si="0"/>
        <v/>
      </c>
      <c r="E18" s="6"/>
      <c r="F18" s="6"/>
      <c r="G18" s="6"/>
      <c r="H18" s="6"/>
      <c r="I18" s="6"/>
      <c r="J18" s="6"/>
      <c r="K18" s="7" t="str">
        <f t="shared" si="1"/>
        <v/>
      </c>
      <c r="L18" s="6"/>
      <c r="M18" s="6"/>
      <c r="N18" s="7" t="str">
        <f t="shared" si="2"/>
        <v/>
      </c>
      <c r="O18" s="6"/>
      <c r="P18" s="6"/>
      <c r="Q18" s="6"/>
      <c r="R18" s="5"/>
    </row>
    <row r="19" spans="1:18" ht="19.5" customHeight="1" x14ac:dyDescent="0.35">
      <c r="A19" s="3" t="s">
        <v>195</v>
      </c>
      <c r="B19" s="6"/>
      <c r="C19" s="6"/>
      <c r="D19" s="7" t="str">
        <f t="shared" si="0"/>
        <v/>
      </c>
      <c r="E19" s="6"/>
      <c r="F19" s="6"/>
      <c r="G19" s="6"/>
      <c r="H19" s="6"/>
      <c r="I19" s="6"/>
      <c r="J19" s="6"/>
      <c r="K19" s="7" t="str">
        <f t="shared" si="1"/>
        <v/>
      </c>
      <c r="L19" s="6"/>
      <c r="M19" s="6"/>
      <c r="N19" s="7" t="str">
        <f t="shared" si="2"/>
        <v/>
      </c>
      <c r="O19" s="6"/>
      <c r="P19" s="6"/>
      <c r="Q19" s="6"/>
      <c r="R19" s="5"/>
    </row>
    <row r="20" spans="1:18" ht="19.5" customHeight="1" x14ac:dyDescent="0.35">
      <c r="A20" s="3" t="s">
        <v>194</v>
      </c>
      <c r="B20" s="6"/>
      <c r="C20" s="6"/>
      <c r="D20" s="7" t="str">
        <f t="shared" si="0"/>
        <v/>
      </c>
      <c r="E20" s="6"/>
      <c r="F20" s="6"/>
      <c r="G20" s="6"/>
      <c r="H20" s="6"/>
      <c r="I20" s="6"/>
      <c r="J20" s="6"/>
      <c r="K20" s="7" t="str">
        <f t="shared" si="1"/>
        <v/>
      </c>
      <c r="L20" s="6"/>
      <c r="M20" s="6"/>
      <c r="N20" s="7" t="str">
        <f t="shared" si="2"/>
        <v/>
      </c>
      <c r="O20" s="6"/>
      <c r="P20" s="6"/>
      <c r="Q20" s="6"/>
      <c r="R20" s="5"/>
    </row>
    <row r="21" spans="1:18" ht="19.5" customHeight="1" x14ac:dyDescent="0.35">
      <c r="A21" s="3" t="s">
        <v>193</v>
      </c>
      <c r="B21" s="6"/>
      <c r="C21" s="6"/>
      <c r="D21" s="7" t="str">
        <f t="shared" si="0"/>
        <v/>
      </c>
      <c r="E21" s="6"/>
      <c r="F21" s="6"/>
      <c r="G21" s="6"/>
      <c r="H21" s="6"/>
      <c r="I21" s="6"/>
      <c r="J21" s="6"/>
      <c r="K21" s="7" t="str">
        <f t="shared" si="1"/>
        <v/>
      </c>
      <c r="L21" s="6"/>
      <c r="M21" s="6"/>
      <c r="N21" s="7" t="str">
        <f t="shared" si="2"/>
        <v/>
      </c>
      <c r="O21" s="6"/>
      <c r="P21" s="6"/>
      <c r="Q21" s="6"/>
      <c r="R21" s="5"/>
    </row>
    <row r="22" spans="1:18" ht="19.5" customHeight="1" x14ac:dyDescent="0.35">
      <c r="A22" s="3" t="s">
        <v>192</v>
      </c>
      <c r="B22" s="6"/>
      <c r="C22" s="6"/>
      <c r="D22" s="7" t="str">
        <f t="shared" si="0"/>
        <v/>
      </c>
      <c r="E22" s="6"/>
      <c r="F22" s="6"/>
      <c r="G22" s="6"/>
      <c r="H22" s="6"/>
      <c r="I22" s="6"/>
      <c r="J22" s="6"/>
      <c r="K22" s="7" t="str">
        <f t="shared" si="1"/>
        <v/>
      </c>
      <c r="L22" s="6"/>
      <c r="M22" s="6"/>
      <c r="N22" s="7" t="str">
        <f t="shared" si="2"/>
        <v/>
      </c>
      <c r="O22" s="6"/>
      <c r="P22" s="6"/>
      <c r="Q22" s="6"/>
      <c r="R22" s="5"/>
    </row>
    <row r="23" spans="1:18" ht="19.5" customHeight="1" x14ac:dyDescent="0.35">
      <c r="A23" s="3" t="s">
        <v>191</v>
      </c>
      <c r="B23" s="6"/>
      <c r="C23" s="6"/>
      <c r="D23" s="7" t="str">
        <f t="shared" si="0"/>
        <v/>
      </c>
      <c r="E23" s="6"/>
      <c r="F23" s="6"/>
      <c r="G23" s="6"/>
      <c r="H23" s="6"/>
      <c r="I23" s="6"/>
      <c r="J23" s="6"/>
      <c r="K23" s="7" t="str">
        <f t="shared" si="1"/>
        <v/>
      </c>
      <c r="L23" s="6"/>
      <c r="M23" s="6"/>
      <c r="N23" s="7" t="str">
        <f t="shared" si="2"/>
        <v/>
      </c>
      <c r="O23" s="6"/>
      <c r="P23" s="6"/>
      <c r="Q23" s="6"/>
      <c r="R23" s="5"/>
    </row>
    <row r="24" spans="1:18" ht="18" customHeight="1" x14ac:dyDescent="0.35">
      <c r="A24" s="42" t="s">
        <v>190</v>
      </c>
      <c r="B24" s="42"/>
      <c r="C24" s="42"/>
      <c r="D24" s="42"/>
      <c r="E24" s="42"/>
      <c r="F24" s="42"/>
      <c r="G24" s="42"/>
      <c r="H24" s="42"/>
      <c r="I24" s="42"/>
      <c r="J24" s="42"/>
      <c r="K24" s="42"/>
      <c r="L24" s="42"/>
      <c r="M24" s="42"/>
      <c r="N24" s="42"/>
      <c r="O24" s="42"/>
      <c r="P24" s="42"/>
      <c r="Q24" s="42"/>
      <c r="R24" s="42"/>
    </row>
    <row r="25" spans="1:18" ht="19.5" customHeight="1" x14ac:dyDescent="0.35">
      <c r="A25" s="3" t="s">
        <v>189</v>
      </c>
      <c r="B25" s="6"/>
      <c r="C25" s="6"/>
      <c r="D25" s="7" t="str">
        <f>IF(OR(B25&lt;&gt;"",C25&lt;&gt;""),IFERROR(IF(ISNUMBER(B25),B25,0)+IF(ISNUMBER(C25),C25,0),""),"")</f>
        <v/>
      </c>
      <c r="E25" s="6"/>
      <c r="F25" s="6"/>
      <c r="G25" s="6"/>
      <c r="H25" s="6"/>
      <c r="I25" s="6"/>
      <c r="J25" s="6"/>
      <c r="K25" s="7" t="str">
        <f>IF(COUNTA(E25:J25)&gt;0,SUM(E25:J25),"")</f>
        <v/>
      </c>
      <c r="L25" s="6"/>
      <c r="M25" s="6"/>
      <c r="N25" s="7" t="str">
        <f>IF(AND(L25&lt;&gt;"",M25&lt;&gt;""),L25-M25,"")</f>
        <v/>
      </c>
      <c r="O25" s="6"/>
      <c r="P25" s="6"/>
      <c r="Q25" s="6"/>
      <c r="R25" s="5"/>
    </row>
    <row r="26" spans="1:18" ht="18" customHeight="1" x14ac:dyDescent="0.35">
      <c r="A26" s="42" t="s">
        <v>188</v>
      </c>
      <c r="B26" s="42"/>
      <c r="C26" s="42"/>
      <c r="D26" s="42"/>
      <c r="E26" s="42"/>
      <c r="F26" s="42"/>
      <c r="G26" s="42"/>
      <c r="H26" s="42"/>
      <c r="I26" s="42"/>
      <c r="J26" s="42"/>
      <c r="K26" s="42"/>
      <c r="L26" s="42"/>
      <c r="M26" s="42"/>
      <c r="N26" s="42"/>
      <c r="O26" s="42"/>
      <c r="P26" s="42"/>
      <c r="Q26" s="42"/>
      <c r="R26" s="42"/>
    </row>
    <row r="27" spans="1:18" ht="19.5" customHeight="1" x14ac:dyDescent="0.35">
      <c r="A27" s="3" t="s">
        <v>187</v>
      </c>
      <c r="B27" s="6"/>
      <c r="C27" s="6"/>
      <c r="D27" s="7" t="str">
        <f>IF(OR(B27&lt;&gt;"",C27&lt;&gt;""),IFERROR(IF(ISNUMBER(B27),B27,0)+IF(ISNUMBER(C27),C27,0),""),"")</f>
        <v/>
      </c>
      <c r="E27" s="6"/>
      <c r="F27" s="6"/>
      <c r="G27" s="6"/>
      <c r="H27" s="6"/>
      <c r="I27" s="6"/>
      <c r="J27" s="6"/>
      <c r="K27" s="7" t="str">
        <f>IF(COUNTA(E27:J27)&gt;0,SUM(E27:J27),"")</f>
        <v/>
      </c>
      <c r="L27" s="6"/>
      <c r="M27" s="6"/>
      <c r="N27" s="7" t="str">
        <f>IF(AND(L27&lt;&gt;"",M27&lt;&gt;""),L27-M27,"")</f>
        <v/>
      </c>
      <c r="O27" s="6"/>
      <c r="P27" s="6"/>
      <c r="Q27" s="6"/>
      <c r="R27" s="5"/>
    </row>
    <row r="28" spans="1:18" ht="19.5" customHeight="1" x14ac:dyDescent="0.35">
      <c r="A28" s="3" t="s">
        <v>186</v>
      </c>
      <c r="B28" s="6"/>
      <c r="C28" s="6"/>
      <c r="D28" s="7" t="str">
        <f>IF(OR(B28&lt;&gt;"",C28&lt;&gt;""),IFERROR(IF(ISNUMBER(B28),B28,0)+IF(ISNUMBER(C28),C28,0),""),"")</f>
        <v/>
      </c>
      <c r="E28" s="6"/>
      <c r="F28" s="6"/>
      <c r="G28" s="6"/>
      <c r="H28" s="6"/>
      <c r="I28" s="6"/>
      <c r="J28" s="6"/>
      <c r="K28" s="7" t="str">
        <f>IF(COUNTA(E28:J28)&gt;0,SUM(E28:J28),"")</f>
        <v/>
      </c>
      <c r="L28" s="6"/>
      <c r="M28" s="6"/>
      <c r="N28" s="7" t="str">
        <f>IF(AND(L28&lt;&gt;"",M28&lt;&gt;""),L28-M28,"")</f>
        <v/>
      </c>
      <c r="O28" s="6"/>
      <c r="P28" s="6"/>
      <c r="Q28" s="6"/>
      <c r="R28" s="5"/>
    </row>
    <row r="29" spans="1:18" ht="19.5" customHeight="1" x14ac:dyDescent="0.35">
      <c r="A29" s="3" t="s">
        <v>185</v>
      </c>
      <c r="B29" s="6"/>
      <c r="C29" s="6"/>
      <c r="D29" s="7" t="str">
        <f>IF(OR(B29&lt;&gt;"",C29&lt;&gt;""),IFERROR(IF(ISNUMBER(B29),B29,0)+IF(ISNUMBER(C29),C29,0),""),"")</f>
        <v/>
      </c>
      <c r="E29" s="6"/>
      <c r="F29" s="6"/>
      <c r="G29" s="6"/>
      <c r="H29" s="6"/>
      <c r="I29" s="6"/>
      <c r="J29" s="6"/>
      <c r="K29" s="7" t="str">
        <f>IF(COUNTA(E29:J29)&gt;0,SUM(E29:J29),"")</f>
        <v/>
      </c>
      <c r="L29" s="6"/>
      <c r="M29" s="6"/>
      <c r="N29" s="7" t="str">
        <f>IF(AND(L29&lt;&gt;"",M29&lt;&gt;""),L29-M29,"")</f>
        <v/>
      </c>
      <c r="O29" s="6"/>
      <c r="P29" s="6"/>
      <c r="Q29" s="6"/>
      <c r="R29" s="5"/>
    </row>
    <row r="30" spans="1:18" ht="19.5" customHeight="1" x14ac:dyDescent="0.35">
      <c r="A30" s="3" t="s">
        <v>184</v>
      </c>
      <c r="B30" s="6"/>
      <c r="C30" s="6"/>
      <c r="D30" s="7" t="str">
        <f>IF(OR(B30&lt;&gt;"",C30&lt;&gt;""),IFERROR(IF(ISNUMBER(B30),B30,0)+IF(ISNUMBER(C30),C30,0),""),"")</f>
        <v/>
      </c>
      <c r="E30" s="6"/>
      <c r="F30" s="6"/>
      <c r="G30" s="6"/>
      <c r="H30" s="6"/>
      <c r="I30" s="6"/>
      <c r="J30" s="6"/>
      <c r="K30" s="7" t="str">
        <f>IF(COUNTA(E30:J30)&gt;0,SUM(E30:J30),"")</f>
        <v/>
      </c>
      <c r="L30" s="6"/>
      <c r="M30" s="6"/>
      <c r="N30" s="7" t="str">
        <f>IF(AND(L30&lt;&gt;"",M30&lt;&gt;""),L30-M30,"")</f>
        <v/>
      </c>
      <c r="O30" s="6"/>
      <c r="P30" s="6"/>
      <c r="Q30" s="6"/>
      <c r="R30" s="5"/>
    </row>
    <row r="31" spans="1:18" ht="19.5" customHeight="1" x14ac:dyDescent="0.35">
      <c r="A31" s="3" t="s">
        <v>183</v>
      </c>
      <c r="B31" s="6"/>
      <c r="C31" s="6"/>
      <c r="D31" s="7" t="str">
        <f>IF(OR(B31&lt;&gt;"",C31&lt;&gt;""),IFERROR(IF(ISNUMBER(B31),B31,0)+IF(ISNUMBER(C31),C31,0),""),"")</f>
        <v/>
      </c>
      <c r="E31" s="6"/>
      <c r="F31" s="6"/>
      <c r="G31" s="6"/>
      <c r="H31" s="6"/>
      <c r="I31" s="6"/>
      <c r="J31" s="6"/>
      <c r="K31" s="7" t="str">
        <f>IF(COUNTA(E31:J31)&gt;0,SUM(E31:J31),"")</f>
        <v/>
      </c>
      <c r="L31" s="6"/>
      <c r="M31" s="6"/>
      <c r="N31" s="7" t="str">
        <f>IF(AND(L31&lt;&gt;"",M31&lt;&gt;""),L31-M31,"")</f>
        <v/>
      </c>
      <c r="O31" s="6"/>
      <c r="P31" s="6"/>
      <c r="Q31" s="6"/>
      <c r="R31" s="5"/>
    </row>
    <row r="32" spans="1:18" ht="18" customHeight="1" x14ac:dyDescent="0.35">
      <c r="A32" s="42" t="s">
        <v>182</v>
      </c>
      <c r="B32" s="42"/>
      <c r="C32" s="42"/>
      <c r="D32" s="42"/>
      <c r="E32" s="42"/>
      <c r="F32" s="42"/>
      <c r="G32" s="42"/>
      <c r="H32" s="42"/>
      <c r="I32" s="42"/>
      <c r="J32" s="42"/>
      <c r="K32" s="42"/>
      <c r="L32" s="42"/>
      <c r="M32" s="42"/>
      <c r="N32" s="42"/>
      <c r="O32" s="42"/>
      <c r="P32" s="42"/>
      <c r="Q32" s="42"/>
      <c r="R32" s="42"/>
    </row>
    <row r="33" spans="1:18" ht="19.5" customHeight="1" x14ac:dyDescent="0.35">
      <c r="A33" s="3" t="s">
        <v>181</v>
      </c>
      <c r="B33" s="6"/>
      <c r="C33" s="6"/>
      <c r="D33" s="7" t="str">
        <f>IF(OR(B33&lt;&gt;"",C33&lt;&gt;""),IFERROR(IF(ISNUMBER(B33),B33,0)+IF(ISNUMBER(C33),C33,0),""),"")</f>
        <v/>
      </c>
      <c r="E33" s="6"/>
      <c r="F33" s="6"/>
      <c r="G33" s="6"/>
      <c r="H33" s="6"/>
      <c r="I33" s="6"/>
      <c r="J33" s="6"/>
      <c r="K33" s="7" t="str">
        <f>IF(COUNTA(E33:J33)&gt;0,SUM(E33:J33),"")</f>
        <v/>
      </c>
      <c r="L33" s="6"/>
      <c r="M33" s="6"/>
      <c r="N33" s="7" t="str">
        <f>IF(AND(L33&lt;&gt;"",M33&lt;&gt;""),L33-M33,"")</f>
        <v/>
      </c>
      <c r="O33" s="6"/>
      <c r="P33" s="6"/>
      <c r="Q33" s="6"/>
      <c r="R33" s="5"/>
    </row>
    <row r="34" spans="1:18" ht="19.5" customHeight="1" x14ac:dyDescent="0.35">
      <c r="A34" s="3" t="s">
        <v>180</v>
      </c>
      <c r="B34" s="6"/>
      <c r="C34" s="6"/>
      <c r="D34" s="7" t="str">
        <f>IF(OR(B34&lt;&gt;"",C34&lt;&gt;""),IFERROR(IF(ISNUMBER(B34),B34,0)+IF(ISNUMBER(C34),C34,0),""),"")</f>
        <v/>
      </c>
      <c r="E34" s="6"/>
      <c r="F34" s="6"/>
      <c r="G34" s="6"/>
      <c r="H34" s="6"/>
      <c r="I34" s="6"/>
      <c r="J34" s="6"/>
      <c r="K34" s="7" t="str">
        <f>IF(COUNTA(E34:J34)&gt;0,SUM(E34:J34),"")</f>
        <v/>
      </c>
      <c r="L34" s="6"/>
      <c r="M34" s="6"/>
      <c r="N34" s="7" t="str">
        <f>IF(AND(L34&lt;&gt;"",M34&lt;&gt;""),L34-M34,"")</f>
        <v/>
      </c>
      <c r="O34" s="6"/>
      <c r="P34" s="6"/>
      <c r="Q34" s="6"/>
      <c r="R34" s="5"/>
    </row>
    <row r="35" spans="1:18" ht="19.5" customHeight="1" x14ac:dyDescent="0.35">
      <c r="A35" s="3" t="s">
        <v>179</v>
      </c>
      <c r="B35" s="6"/>
      <c r="C35" s="6"/>
      <c r="D35" s="7" t="str">
        <f>IF(OR(B35&lt;&gt;"",C35&lt;&gt;""),IFERROR(IF(ISNUMBER(B35),B35,0)+IF(ISNUMBER(C35),C35,0),""),"")</f>
        <v/>
      </c>
      <c r="E35" s="6"/>
      <c r="F35" s="6"/>
      <c r="G35" s="6"/>
      <c r="H35" s="6"/>
      <c r="I35" s="6"/>
      <c r="J35" s="6"/>
      <c r="K35" s="7" t="str">
        <f>IF(COUNTA(E35:J35)&gt;0,SUM(E35:J35),"")</f>
        <v/>
      </c>
      <c r="L35" s="6"/>
      <c r="M35" s="6"/>
      <c r="N35" s="7" t="str">
        <f>IF(AND(L35&lt;&gt;"",M35&lt;&gt;""),L35-M35,"")</f>
        <v/>
      </c>
      <c r="O35" s="6"/>
      <c r="P35" s="6"/>
      <c r="Q35" s="6"/>
      <c r="R35" s="5"/>
    </row>
    <row r="36" spans="1:18" ht="18" customHeight="1" x14ac:dyDescent="0.35">
      <c r="A36" s="42" t="s">
        <v>178</v>
      </c>
      <c r="B36" s="42"/>
      <c r="C36" s="42"/>
      <c r="D36" s="42"/>
      <c r="E36" s="42"/>
      <c r="F36" s="42"/>
      <c r="G36" s="42"/>
      <c r="H36" s="42"/>
      <c r="I36" s="42"/>
      <c r="J36" s="42"/>
      <c r="K36" s="42"/>
      <c r="L36" s="42"/>
      <c r="M36" s="42"/>
      <c r="N36" s="42"/>
      <c r="O36" s="42"/>
      <c r="P36" s="42"/>
      <c r="Q36" s="42"/>
      <c r="R36" s="42"/>
    </row>
    <row r="37" spans="1:18" ht="19.5" customHeight="1" x14ac:dyDescent="0.35">
      <c r="A37" s="3" t="s">
        <v>177</v>
      </c>
      <c r="B37" s="6"/>
      <c r="C37" s="6"/>
      <c r="D37" s="7" t="str">
        <f>IF(OR(B37&lt;&gt;"",C37&lt;&gt;""),IFERROR(IF(ISNUMBER(B37),B37,0)+IF(ISNUMBER(C37),C37,0),""),"")</f>
        <v/>
      </c>
      <c r="E37" s="6"/>
      <c r="F37" s="6"/>
      <c r="G37" s="6"/>
      <c r="H37" s="6"/>
      <c r="I37" s="6"/>
      <c r="J37" s="6"/>
      <c r="K37" s="7" t="str">
        <f>IF(COUNTA(E37:J37)&gt;0,SUM(E37:J37),"")</f>
        <v/>
      </c>
      <c r="L37" s="6"/>
      <c r="M37" s="6"/>
      <c r="N37" s="7" t="str">
        <f>IF(AND(L37&lt;&gt;"",M37&lt;&gt;""),L37-M37,"")</f>
        <v/>
      </c>
      <c r="O37" s="6"/>
      <c r="P37" s="6"/>
      <c r="Q37" s="6"/>
      <c r="R37" s="5"/>
    </row>
    <row r="38" spans="1:18" ht="19.5" customHeight="1" x14ac:dyDescent="0.35">
      <c r="A38" s="3" t="s">
        <v>176</v>
      </c>
      <c r="B38" s="6"/>
      <c r="C38" s="6"/>
      <c r="D38" s="7" t="str">
        <f>IF(OR(B38&lt;&gt;"",C38&lt;&gt;""),IFERROR(IF(ISNUMBER(B38),B38,0)+IF(ISNUMBER(C38),C38,0),""),"")</f>
        <v/>
      </c>
      <c r="E38" s="6"/>
      <c r="F38" s="6"/>
      <c r="G38" s="6"/>
      <c r="H38" s="6"/>
      <c r="I38" s="6"/>
      <c r="J38" s="6"/>
      <c r="K38" s="7" t="str">
        <f>IF(COUNTA(E38:J38)&gt;0,SUM(E38:J38),"")</f>
        <v/>
      </c>
      <c r="L38" s="6"/>
      <c r="M38" s="6"/>
      <c r="N38" s="7" t="str">
        <f>IF(AND(L38&lt;&gt;"",M38&lt;&gt;""),L38-M38,"")</f>
        <v/>
      </c>
      <c r="O38" s="6"/>
      <c r="P38" s="6"/>
      <c r="Q38" s="6"/>
      <c r="R38" s="5"/>
    </row>
    <row r="39" spans="1:18" ht="18" customHeight="1" x14ac:dyDescent="0.35">
      <c r="A39" s="42" t="s">
        <v>175</v>
      </c>
      <c r="B39" s="42"/>
      <c r="C39" s="42"/>
      <c r="D39" s="42"/>
      <c r="E39" s="42"/>
      <c r="F39" s="42"/>
      <c r="G39" s="42"/>
      <c r="H39" s="42"/>
      <c r="I39" s="42"/>
      <c r="J39" s="42"/>
      <c r="K39" s="42"/>
      <c r="L39" s="42"/>
      <c r="M39" s="42"/>
      <c r="N39" s="42"/>
      <c r="O39" s="42"/>
      <c r="P39" s="42"/>
      <c r="Q39" s="42"/>
      <c r="R39" s="42"/>
    </row>
    <row r="40" spans="1:18" ht="19.5" customHeight="1" x14ac:dyDescent="0.35">
      <c r="A40" s="3" t="s">
        <v>174</v>
      </c>
      <c r="B40" s="6"/>
      <c r="C40" s="6"/>
      <c r="D40" s="7" t="str">
        <f>IF(OR(B40&lt;&gt;"",C40&lt;&gt;""),IFERROR(IF(ISNUMBER(B40),B40,0)+IF(ISNUMBER(C40),C40,0),""),"")</f>
        <v/>
      </c>
      <c r="E40" s="6"/>
      <c r="F40" s="6"/>
      <c r="G40" s="6"/>
      <c r="H40" s="6"/>
      <c r="I40" s="6"/>
      <c r="J40" s="6"/>
      <c r="K40" s="7" t="str">
        <f>IF(COUNTA(E40:J40)&gt;0,SUM(E40:J40),"")</f>
        <v/>
      </c>
      <c r="L40" s="6"/>
      <c r="M40" s="6"/>
      <c r="N40" s="7" t="str">
        <f>IF(AND(L40&lt;&gt;"",M40&lt;&gt;""),L40-M40,"")</f>
        <v/>
      </c>
      <c r="O40" s="6"/>
      <c r="P40" s="6"/>
      <c r="Q40" s="6"/>
      <c r="R40" s="5"/>
    </row>
    <row r="41" spans="1:18" ht="18" customHeight="1" x14ac:dyDescent="0.35">
      <c r="A41" s="42" t="s">
        <v>173</v>
      </c>
      <c r="B41" s="42"/>
      <c r="C41" s="42"/>
      <c r="D41" s="42"/>
      <c r="E41" s="42"/>
      <c r="F41" s="42"/>
      <c r="G41" s="42"/>
      <c r="H41" s="42"/>
      <c r="I41" s="42"/>
      <c r="J41" s="42"/>
      <c r="K41" s="42"/>
      <c r="L41" s="42"/>
      <c r="M41" s="42"/>
      <c r="N41" s="42"/>
      <c r="O41" s="42"/>
      <c r="P41" s="42"/>
      <c r="Q41" s="42"/>
      <c r="R41" s="42"/>
    </row>
    <row r="42" spans="1:18" ht="19.5" customHeight="1" x14ac:dyDescent="0.35">
      <c r="A42" s="3" t="s">
        <v>172</v>
      </c>
      <c r="B42" s="6"/>
      <c r="C42" s="6"/>
      <c r="D42" s="7" t="str">
        <f>IF(OR(B42&lt;&gt;"",C42&lt;&gt;""),IFERROR(IF(ISNUMBER(B42),B42,0)+IF(ISNUMBER(C42),C42,0),""),"")</f>
        <v/>
      </c>
      <c r="E42" s="6"/>
      <c r="F42" s="6"/>
      <c r="G42" s="6"/>
      <c r="H42" s="6"/>
      <c r="I42" s="6"/>
      <c r="J42" s="6"/>
      <c r="K42" s="7" t="str">
        <f>IF(COUNTA(E42:J42)&gt;0,SUM(E42:J42),"")</f>
        <v/>
      </c>
      <c r="L42" s="6"/>
      <c r="M42" s="6"/>
      <c r="N42" s="7" t="str">
        <f>IF(AND(L42&lt;&gt;"",M42&lt;&gt;""),L42-M42,"")</f>
        <v/>
      </c>
      <c r="O42" s="6"/>
      <c r="P42" s="6"/>
      <c r="Q42" s="6"/>
      <c r="R42" s="5"/>
    </row>
    <row r="43" spans="1:18" ht="18" customHeight="1" x14ac:dyDescent="0.35">
      <c r="A43" s="42" t="s">
        <v>171</v>
      </c>
      <c r="B43" s="42"/>
      <c r="C43" s="42"/>
      <c r="D43" s="42"/>
      <c r="E43" s="42"/>
      <c r="F43" s="42"/>
      <c r="G43" s="42"/>
      <c r="H43" s="42"/>
      <c r="I43" s="42"/>
      <c r="J43" s="42"/>
      <c r="K43" s="42"/>
      <c r="L43" s="42"/>
      <c r="M43" s="42"/>
      <c r="N43" s="42"/>
      <c r="O43" s="42"/>
      <c r="P43" s="42"/>
      <c r="Q43" s="42"/>
      <c r="R43" s="42"/>
    </row>
    <row r="44" spans="1:18" ht="19.5" customHeight="1" x14ac:dyDescent="0.35">
      <c r="A44" s="3" t="s">
        <v>170</v>
      </c>
      <c r="B44" s="6"/>
      <c r="C44" s="6"/>
      <c r="D44" s="7" t="str">
        <f>IF(OR(B44&lt;&gt;"",C44&lt;&gt;""),IFERROR(IF(ISNUMBER(B44),B44,0)+IF(ISNUMBER(C44),C44,0),""),"")</f>
        <v/>
      </c>
      <c r="E44" s="6"/>
      <c r="F44" s="6"/>
      <c r="G44" s="6"/>
      <c r="H44" s="6"/>
      <c r="I44" s="6"/>
      <c r="J44" s="6"/>
      <c r="K44" s="7" t="str">
        <f>IF(COUNTA(E44:J44)&gt;0,SUM(E44:J44),"")</f>
        <v/>
      </c>
      <c r="L44" s="6"/>
      <c r="M44" s="6"/>
      <c r="N44" s="7" t="str">
        <f>IF(AND(L44&lt;&gt;"",M44&lt;&gt;""),L44-M44,"")</f>
        <v/>
      </c>
      <c r="O44" s="6"/>
      <c r="P44" s="6"/>
      <c r="Q44" s="6"/>
      <c r="R44" s="5"/>
    </row>
    <row r="45" spans="1:18" ht="19.5" customHeight="1" x14ac:dyDescent="0.35">
      <c r="A45" s="3" t="s">
        <v>169</v>
      </c>
      <c r="B45" s="6"/>
      <c r="C45" s="6"/>
      <c r="D45" s="7" t="str">
        <f>IF(OR(B45&lt;&gt;"",C45&lt;&gt;""),IFERROR(IF(ISNUMBER(B45),B45,0)+IF(ISNUMBER(C45),C45,0),""),"")</f>
        <v/>
      </c>
      <c r="E45" s="6"/>
      <c r="F45" s="6"/>
      <c r="G45" s="6"/>
      <c r="H45" s="6"/>
      <c r="I45" s="6"/>
      <c r="J45" s="6"/>
      <c r="K45" s="7" t="str">
        <f>IF(COUNTA(E45:J45)&gt;0,SUM(E45:J45),"")</f>
        <v/>
      </c>
      <c r="L45" s="6"/>
      <c r="M45" s="6"/>
      <c r="N45" s="7" t="str">
        <f>IF(AND(L45&lt;&gt;"",M45&lt;&gt;""),L45-M45,"")</f>
        <v/>
      </c>
      <c r="O45" s="6"/>
      <c r="P45" s="6"/>
      <c r="Q45" s="6"/>
      <c r="R45" s="5"/>
    </row>
    <row r="46" spans="1:18" ht="19.5" customHeight="1" x14ac:dyDescent="0.35">
      <c r="A46" s="3" t="s">
        <v>168</v>
      </c>
      <c r="B46" s="6"/>
      <c r="C46" s="6"/>
      <c r="D46" s="7" t="str">
        <f>IF(OR(B46&lt;&gt;"",C46&lt;&gt;""),IFERROR(IF(ISNUMBER(B46),B46,0)+IF(ISNUMBER(C46),C46,0),""),"")</f>
        <v/>
      </c>
      <c r="E46" s="6"/>
      <c r="F46" s="6"/>
      <c r="G46" s="6"/>
      <c r="H46" s="6"/>
      <c r="I46" s="6"/>
      <c r="J46" s="6"/>
      <c r="K46" s="7" t="str">
        <f>IF(COUNTA(E46:J46)&gt;0,SUM(E46:J46),"")</f>
        <v/>
      </c>
      <c r="L46" s="6"/>
      <c r="M46" s="6"/>
      <c r="N46" s="7" t="str">
        <f>IF(AND(L46&lt;&gt;"",M46&lt;&gt;""),L46-M46,"")</f>
        <v/>
      </c>
      <c r="O46" s="6"/>
      <c r="P46" s="6"/>
      <c r="Q46" s="6"/>
      <c r="R46" s="5"/>
    </row>
    <row r="47" spans="1:18" ht="19.5" customHeight="1" x14ac:dyDescent="0.35">
      <c r="A47" s="3" t="s">
        <v>167</v>
      </c>
      <c r="B47" s="6"/>
      <c r="C47" s="6"/>
      <c r="D47" s="7" t="str">
        <f>IF(OR(B47&lt;&gt;"",C47&lt;&gt;""),IFERROR(IF(ISNUMBER(B47),B47,0)+IF(ISNUMBER(C47),C47,0),""),"")</f>
        <v/>
      </c>
      <c r="E47" s="6"/>
      <c r="F47" s="6"/>
      <c r="G47" s="6"/>
      <c r="H47" s="6"/>
      <c r="I47" s="6"/>
      <c r="J47" s="6"/>
      <c r="K47" s="7" t="str">
        <f>IF(COUNTA(E47:J47)&gt;0,SUM(E47:J47),"")</f>
        <v/>
      </c>
      <c r="L47" s="6"/>
      <c r="M47" s="6"/>
      <c r="N47" s="7" t="str">
        <f>IF(AND(L47&lt;&gt;"",M47&lt;&gt;""),L47-M47,"")</f>
        <v/>
      </c>
      <c r="O47" s="6"/>
      <c r="P47" s="6"/>
      <c r="Q47" s="6"/>
      <c r="R47" s="5"/>
    </row>
    <row r="48" spans="1:18" ht="18" customHeight="1" x14ac:dyDescent="0.35">
      <c r="A48" s="42" t="s">
        <v>166</v>
      </c>
      <c r="B48" s="42"/>
      <c r="C48" s="42"/>
      <c r="D48" s="42"/>
      <c r="E48" s="42"/>
      <c r="F48" s="42"/>
      <c r="G48" s="42"/>
      <c r="H48" s="42"/>
      <c r="I48" s="42"/>
      <c r="J48" s="42"/>
      <c r="K48" s="42"/>
      <c r="L48" s="42"/>
      <c r="M48" s="42"/>
      <c r="N48" s="42"/>
      <c r="O48" s="42"/>
      <c r="P48" s="42"/>
      <c r="Q48" s="42"/>
      <c r="R48" s="42"/>
    </row>
    <row r="49" spans="1:18" ht="19.5" customHeight="1" x14ac:dyDescent="0.35">
      <c r="A49" s="3" t="s">
        <v>165</v>
      </c>
      <c r="B49" s="6"/>
      <c r="C49" s="6"/>
      <c r="D49" s="7" t="str">
        <f>IF(OR(B49&lt;&gt;"",C49&lt;&gt;""),IFERROR(IF(ISNUMBER(B49),B49,0)+IF(ISNUMBER(C49),C49,0),""),"")</f>
        <v/>
      </c>
      <c r="E49" s="6"/>
      <c r="F49" s="6"/>
      <c r="G49" s="6"/>
      <c r="H49" s="6"/>
      <c r="I49" s="6"/>
      <c r="J49" s="6"/>
      <c r="K49" s="7" t="str">
        <f>IF(COUNTA(E49:J49)&gt;0,SUM(E49:J49),"")</f>
        <v/>
      </c>
      <c r="L49" s="6"/>
      <c r="M49" s="6"/>
      <c r="N49" s="7" t="str">
        <f>IF(AND(L49&lt;&gt;"",M49&lt;&gt;""),L49-M49,"")</f>
        <v/>
      </c>
      <c r="O49" s="6"/>
      <c r="P49" s="6"/>
      <c r="Q49" s="6"/>
      <c r="R49" s="5"/>
    </row>
    <row r="50" spans="1:18" ht="19.5" customHeight="1" x14ac:dyDescent="0.35">
      <c r="A50" s="3" t="s">
        <v>164</v>
      </c>
      <c r="B50" s="6"/>
      <c r="C50" s="6"/>
      <c r="D50" s="7" t="str">
        <f>IF(OR(B50&lt;&gt;"",C50&lt;&gt;""),IFERROR(IF(ISNUMBER(B50),B50,0)+IF(ISNUMBER(C50),C50,0),""),"")</f>
        <v/>
      </c>
      <c r="E50" s="6"/>
      <c r="F50" s="6"/>
      <c r="G50" s="6"/>
      <c r="H50" s="6"/>
      <c r="I50" s="6"/>
      <c r="J50" s="6"/>
      <c r="K50" s="7" t="str">
        <f>IF(COUNTA(E50:J50)&gt;0,SUM(E50:J50),"")</f>
        <v/>
      </c>
      <c r="L50" s="6"/>
      <c r="M50" s="6"/>
      <c r="N50" s="7" t="str">
        <f>IF(AND(L50&lt;&gt;"",M50&lt;&gt;""),L50-M50,"")</f>
        <v/>
      </c>
      <c r="O50" s="6"/>
      <c r="P50" s="6"/>
      <c r="Q50" s="6"/>
      <c r="R50" s="5"/>
    </row>
    <row r="51" spans="1:18" ht="19.5" customHeight="1" x14ac:dyDescent="0.35">
      <c r="A51" s="3" t="s">
        <v>163</v>
      </c>
      <c r="B51" s="6"/>
      <c r="C51" s="6"/>
      <c r="D51" s="7" t="str">
        <f>IF(OR(B51&lt;&gt;"",C51&lt;&gt;""),IFERROR(IF(ISNUMBER(B51),B51,0)+IF(ISNUMBER(C51),C51,0),""),"")</f>
        <v/>
      </c>
      <c r="E51" s="6"/>
      <c r="F51" s="6"/>
      <c r="G51" s="6"/>
      <c r="H51" s="6"/>
      <c r="I51" s="6"/>
      <c r="J51" s="6"/>
      <c r="K51" s="7" t="str">
        <f>IF(COUNTA(E51:J51)&gt;0,SUM(E51:J51),"")</f>
        <v/>
      </c>
      <c r="L51" s="6"/>
      <c r="M51" s="6"/>
      <c r="N51" s="7" t="str">
        <f>IF(AND(L51&lt;&gt;"",M51&lt;&gt;""),L51-M51,"")</f>
        <v/>
      </c>
      <c r="O51" s="6"/>
      <c r="P51" s="6"/>
      <c r="Q51" s="6"/>
      <c r="R51" s="5"/>
    </row>
    <row r="52" spans="1:18" ht="18" customHeight="1" x14ac:dyDescent="0.35">
      <c r="A52" s="42" t="s">
        <v>162</v>
      </c>
      <c r="B52" s="42"/>
      <c r="C52" s="42"/>
      <c r="D52" s="42"/>
      <c r="E52" s="42"/>
      <c r="F52" s="42"/>
      <c r="G52" s="42"/>
      <c r="H52" s="42"/>
      <c r="I52" s="42"/>
      <c r="J52" s="42"/>
      <c r="K52" s="42"/>
      <c r="L52" s="42"/>
      <c r="M52" s="42"/>
      <c r="N52" s="42"/>
      <c r="O52" s="42"/>
      <c r="P52" s="42"/>
      <c r="Q52" s="42"/>
      <c r="R52" s="42"/>
    </row>
    <row r="53" spans="1:18" ht="19.5" customHeight="1" x14ac:dyDescent="0.35">
      <c r="A53" s="3" t="s">
        <v>161</v>
      </c>
      <c r="B53" s="6"/>
      <c r="C53" s="6"/>
      <c r="D53" s="7" t="str">
        <f>IF(OR(B53&lt;&gt;"",C53&lt;&gt;""),IFERROR(IF(ISNUMBER(B53),B53,0)+IF(ISNUMBER(C53),C53,0),""),"")</f>
        <v/>
      </c>
      <c r="E53" s="6"/>
      <c r="F53" s="6"/>
      <c r="G53" s="6"/>
      <c r="H53" s="6"/>
      <c r="I53" s="6"/>
      <c r="J53" s="6"/>
      <c r="K53" s="7" t="str">
        <f>IF(COUNTA(E53:J53)&gt;0,SUM(E53:J53),"")</f>
        <v/>
      </c>
      <c r="L53" s="6"/>
      <c r="M53" s="6"/>
      <c r="N53" s="7" t="str">
        <f>IF(AND(L53&lt;&gt;"",M53&lt;&gt;""),L53-M53,"")</f>
        <v/>
      </c>
      <c r="O53" s="6"/>
      <c r="P53" s="6"/>
      <c r="Q53" s="6"/>
      <c r="R53" s="5"/>
    </row>
    <row r="54" spans="1:18" ht="19.5" customHeight="1" x14ac:dyDescent="0.35">
      <c r="A54" s="3" t="s">
        <v>160</v>
      </c>
      <c r="B54" s="6"/>
      <c r="C54" s="6"/>
      <c r="D54" s="7" t="str">
        <f>IF(OR(B54&lt;&gt;"",C54&lt;&gt;""),IFERROR(IF(ISNUMBER(B54),B54,0)+IF(ISNUMBER(C54),C54,0),""),"")</f>
        <v/>
      </c>
      <c r="E54" s="6"/>
      <c r="F54" s="6"/>
      <c r="G54" s="6"/>
      <c r="H54" s="6"/>
      <c r="I54" s="6"/>
      <c r="J54" s="6"/>
      <c r="K54" s="7" t="str">
        <f>IF(COUNTA(E54:J54)&gt;0,SUM(E54:J54),"")</f>
        <v/>
      </c>
      <c r="L54" s="6"/>
      <c r="M54" s="6"/>
      <c r="N54" s="7" t="str">
        <f>IF(AND(L54&lt;&gt;"",M54&lt;&gt;""),L54-M54,"")</f>
        <v/>
      </c>
      <c r="O54" s="6"/>
      <c r="P54" s="6"/>
      <c r="Q54" s="6"/>
      <c r="R54" s="5"/>
    </row>
    <row r="55" spans="1:18" ht="19.5" customHeight="1" x14ac:dyDescent="0.35">
      <c r="A55" s="3" t="s">
        <v>159</v>
      </c>
      <c r="B55" s="6"/>
      <c r="C55" s="6"/>
      <c r="D55" s="7" t="str">
        <f>IF(OR(B55&lt;&gt;"",C55&lt;&gt;""),IFERROR(IF(ISNUMBER(B55),B55,0)+IF(ISNUMBER(C55),C55,0),""),"")</f>
        <v/>
      </c>
      <c r="E55" s="6"/>
      <c r="F55" s="6"/>
      <c r="G55" s="6"/>
      <c r="H55" s="6"/>
      <c r="I55" s="6"/>
      <c r="J55" s="6"/>
      <c r="K55" s="7" t="str">
        <f>IF(COUNTA(E55:J55)&gt;0,SUM(E55:J55),"")</f>
        <v/>
      </c>
      <c r="L55" s="6"/>
      <c r="M55" s="6"/>
      <c r="N55" s="7" t="str">
        <f>IF(AND(L55&lt;&gt;"",M55&lt;&gt;""),L55-M55,"")</f>
        <v/>
      </c>
      <c r="O55" s="6"/>
      <c r="P55" s="6"/>
      <c r="Q55" s="6"/>
      <c r="R55" s="5"/>
    </row>
    <row r="56" spans="1:18" ht="18" customHeight="1" x14ac:dyDescent="0.35">
      <c r="A56" s="42" t="s">
        <v>158</v>
      </c>
      <c r="B56" s="42"/>
      <c r="C56" s="42"/>
      <c r="D56" s="42"/>
      <c r="E56" s="42"/>
      <c r="F56" s="42"/>
      <c r="G56" s="42"/>
      <c r="H56" s="42"/>
      <c r="I56" s="42"/>
      <c r="J56" s="42"/>
      <c r="K56" s="42"/>
      <c r="L56" s="42"/>
      <c r="M56" s="42"/>
      <c r="N56" s="42"/>
      <c r="O56" s="42"/>
      <c r="P56" s="42"/>
      <c r="Q56" s="42"/>
      <c r="R56" s="42"/>
    </row>
    <row r="57" spans="1:18" ht="19.5" customHeight="1" x14ac:dyDescent="0.35">
      <c r="A57" s="3" t="s">
        <v>157</v>
      </c>
      <c r="B57" s="6"/>
      <c r="C57" s="6"/>
      <c r="D57" s="7" t="str">
        <f>IF(OR(B57&lt;&gt;"",C57&lt;&gt;""),IFERROR(IF(ISNUMBER(B57),B57,0)+IF(ISNUMBER(C57),C57,0),""),"")</f>
        <v/>
      </c>
      <c r="E57" s="6"/>
      <c r="F57" s="6"/>
      <c r="G57" s="6"/>
      <c r="H57" s="6"/>
      <c r="I57" s="6"/>
      <c r="J57" s="6"/>
      <c r="K57" s="7" t="str">
        <f>IF(COUNTA(E57:J57)&gt;0,SUM(E57:J57),"")</f>
        <v/>
      </c>
      <c r="L57" s="6"/>
      <c r="M57" s="6"/>
      <c r="N57" s="7" t="str">
        <f>IF(AND(L57&lt;&gt;"",M57&lt;&gt;""),L57-M57,"")</f>
        <v/>
      </c>
      <c r="O57" s="6"/>
      <c r="P57" s="6"/>
      <c r="Q57" s="6"/>
      <c r="R57" s="5"/>
    </row>
    <row r="58" spans="1:18" ht="19.5" customHeight="1" x14ac:dyDescent="0.35">
      <c r="A58" s="3" t="s">
        <v>156</v>
      </c>
      <c r="B58" s="6"/>
      <c r="C58" s="6"/>
      <c r="D58" s="7" t="str">
        <f>IF(OR(B58&lt;&gt;"",C58&lt;&gt;""),IFERROR(IF(ISNUMBER(B58),B58,0)+IF(ISNUMBER(C58),C58,0),""),"")</f>
        <v/>
      </c>
      <c r="E58" s="6"/>
      <c r="F58" s="6"/>
      <c r="G58" s="6"/>
      <c r="H58" s="6"/>
      <c r="I58" s="6"/>
      <c r="J58" s="6"/>
      <c r="K58" s="7" t="str">
        <f>IF(COUNTA(E58:J58)&gt;0,SUM(E58:J58),"")</f>
        <v/>
      </c>
      <c r="L58" s="6"/>
      <c r="M58" s="6"/>
      <c r="N58" s="7" t="str">
        <f>IF(AND(L58&lt;&gt;"",M58&lt;&gt;""),L58-M58,"")</f>
        <v/>
      </c>
      <c r="O58" s="6"/>
      <c r="P58" s="6"/>
      <c r="Q58" s="6"/>
      <c r="R58" s="5"/>
    </row>
    <row r="59" spans="1:18" ht="19.5" customHeight="1" x14ac:dyDescent="0.35">
      <c r="A59" s="3" t="s">
        <v>155</v>
      </c>
      <c r="B59" s="6"/>
      <c r="C59" s="6"/>
      <c r="D59" s="7" t="str">
        <f>IF(OR(B59&lt;&gt;"",C59&lt;&gt;""),IFERROR(IF(ISNUMBER(B59),B59,0)+IF(ISNUMBER(C59),C59,0),""),"")</f>
        <v/>
      </c>
      <c r="E59" s="6"/>
      <c r="F59" s="6"/>
      <c r="G59" s="6"/>
      <c r="H59" s="6"/>
      <c r="I59" s="6"/>
      <c r="J59" s="6"/>
      <c r="K59" s="7" t="str">
        <f>IF(COUNTA(E59:J59)&gt;0,SUM(E59:J59),"")</f>
        <v/>
      </c>
      <c r="L59" s="6"/>
      <c r="M59" s="6"/>
      <c r="N59" s="7" t="str">
        <f>IF(AND(L59&lt;&gt;"",M59&lt;&gt;""),L59-M59,"")</f>
        <v/>
      </c>
      <c r="O59" s="6"/>
      <c r="P59" s="6"/>
      <c r="Q59" s="6"/>
      <c r="R59" s="5"/>
    </row>
    <row r="60" spans="1:18" ht="18" customHeight="1" x14ac:dyDescent="0.35">
      <c r="A60" s="42" t="s">
        <v>154</v>
      </c>
      <c r="B60" s="42"/>
      <c r="C60" s="42"/>
      <c r="D60" s="42"/>
      <c r="E60" s="42"/>
      <c r="F60" s="42"/>
      <c r="G60" s="42"/>
      <c r="H60" s="42"/>
      <c r="I60" s="42"/>
      <c r="J60" s="42"/>
      <c r="K60" s="42"/>
      <c r="L60" s="42"/>
      <c r="M60" s="42"/>
      <c r="N60" s="42"/>
      <c r="O60" s="42"/>
      <c r="P60" s="42"/>
      <c r="Q60" s="42"/>
      <c r="R60" s="42"/>
    </row>
    <row r="61" spans="1:18" ht="19.5" customHeight="1" x14ac:dyDescent="0.35">
      <c r="A61" s="3" t="s">
        <v>153</v>
      </c>
      <c r="B61" s="6"/>
      <c r="C61" s="6"/>
      <c r="D61" s="7" t="str">
        <f>IF(OR(B61&lt;&gt;"",C61&lt;&gt;""),IFERROR(IF(ISNUMBER(B61),B61,0)+IF(ISNUMBER(C61),C61,0),""),"")</f>
        <v/>
      </c>
      <c r="E61" s="6"/>
      <c r="F61" s="6"/>
      <c r="G61" s="6"/>
      <c r="H61" s="6"/>
      <c r="I61" s="6"/>
      <c r="J61" s="6"/>
      <c r="K61" s="7" t="str">
        <f>IF(COUNTA(E61:J61)&gt;0,SUM(E61:J61),"")</f>
        <v/>
      </c>
      <c r="L61" s="6"/>
      <c r="M61" s="6"/>
      <c r="N61" s="7" t="str">
        <f>IF(AND(L61&lt;&gt;"",M61&lt;&gt;""),L61-M61,"")</f>
        <v/>
      </c>
      <c r="O61" s="6"/>
      <c r="P61" s="6"/>
      <c r="Q61" s="6"/>
      <c r="R61" s="5"/>
    </row>
    <row r="62" spans="1:18" ht="19.5" customHeight="1" x14ac:dyDescent="0.35">
      <c r="A62" s="3" t="s">
        <v>152</v>
      </c>
      <c r="B62" s="6"/>
      <c r="C62" s="6"/>
      <c r="D62" s="7" t="str">
        <f>IF(OR(B62&lt;&gt;"",C62&lt;&gt;""),IFERROR(IF(ISNUMBER(B62),B62,0)+IF(ISNUMBER(C62),C62,0),""),"")</f>
        <v/>
      </c>
      <c r="E62" s="6"/>
      <c r="F62" s="6"/>
      <c r="G62" s="6"/>
      <c r="H62" s="6"/>
      <c r="I62" s="6"/>
      <c r="J62" s="6"/>
      <c r="K62" s="7" t="str">
        <f>IF(COUNTA(E62:J62)&gt;0,SUM(E62:J62),"")</f>
        <v/>
      </c>
      <c r="L62" s="6"/>
      <c r="M62" s="6"/>
      <c r="N62" s="7" t="str">
        <f>IF(AND(L62&lt;&gt;"",M62&lt;&gt;""),L62-M62,"")</f>
        <v/>
      </c>
      <c r="O62" s="6"/>
      <c r="P62" s="6"/>
      <c r="Q62" s="6"/>
      <c r="R62" s="5"/>
    </row>
    <row r="63" spans="1:18" ht="19.5" customHeight="1" x14ac:dyDescent="0.35">
      <c r="A63" s="3" t="s">
        <v>151</v>
      </c>
      <c r="B63" s="6"/>
      <c r="C63" s="6"/>
      <c r="D63" s="7" t="str">
        <f>IF(OR(B63&lt;&gt;"",C63&lt;&gt;""),IFERROR(IF(ISNUMBER(B63),B63,0)+IF(ISNUMBER(C63),C63,0),""),"")</f>
        <v/>
      </c>
      <c r="E63" s="6"/>
      <c r="F63" s="6"/>
      <c r="G63" s="6"/>
      <c r="H63" s="6"/>
      <c r="I63" s="6"/>
      <c r="J63" s="6"/>
      <c r="K63" s="7" t="str">
        <f>IF(COUNTA(E63:J63)&gt;0,SUM(E63:J63),"")</f>
        <v/>
      </c>
      <c r="L63" s="6"/>
      <c r="M63" s="6"/>
      <c r="N63" s="7" t="str">
        <f>IF(AND(L63&lt;&gt;"",M63&lt;&gt;""),L63-M63,"")</f>
        <v/>
      </c>
      <c r="O63" s="6"/>
      <c r="P63" s="6"/>
      <c r="Q63" s="6"/>
      <c r="R63" s="5"/>
    </row>
    <row r="64" spans="1:18" ht="18" customHeight="1" x14ac:dyDescent="0.35">
      <c r="A64" s="42" t="s">
        <v>150</v>
      </c>
      <c r="B64" s="42"/>
      <c r="C64" s="42"/>
      <c r="D64" s="42"/>
      <c r="E64" s="42"/>
      <c r="F64" s="42"/>
      <c r="G64" s="42"/>
      <c r="H64" s="42"/>
      <c r="I64" s="42"/>
      <c r="J64" s="42"/>
      <c r="K64" s="42"/>
      <c r="L64" s="42"/>
      <c r="M64" s="42"/>
      <c r="N64" s="42"/>
      <c r="O64" s="42"/>
      <c r="P64" s="42"/>
      <c r="Q64" s="42"/>
      <c r="R64" s="42"/>
    </row>
    <row r="65" spans="1:18" ht="19.5" customHeight="1" x14ac:dyDescent="0.35">
      <c r="A65" s="3" t="s">
        <v>149</v>
      </c>
      <c r="B65" s="6"/>
      <c r="C65" s="6"/>
      <c r="D65" s="7" t="str">
        <f>IF(OR(B65&lt;&gt;"",C65&lt;&gt;""),IFERROR(IF(ISNUMBER(B65),B65,0)+IF(ISNUMBER(C65),C65,0),""),"")</f>
        <v/>
      </c>
      <c r="E65" s="6"/>
      <c r="F65" s="6"/>
      <c r="G65" s="6"/>
      <c r="H65" s="6"/>
      <c r="I65" s="6"/>
      <c r="J65" s="6"/>
      <c r="K65" s="7" t="str">
        <f>IF(COUNTA(E65:J65)&gt;0,SUM(E65:J65),"")</f>
        <v/>
      </c>
      <c r="L65" s="6"/>
      <c r="M65" s="6"/>
      <c r="N65" s="7" t="str">
        <f>IF(AND(L65&lt;&gt;"",M65&lt;&gt;""),L65-M65,"")</f>
        <v/>
      </c>
      <c r="O65" s="6"/>
      <c r="P65" s="6"/>
      <c r="Q65" s="6"/>
      <c r="R65" s="5"/>
    </row>
    <row r="66" spans="1:18" ht="19.5" customHeight="1" x14ac:dyDescent="0.35">
      <c r="A66" s="3" t="s">
        <v>148</v>
      </c>
      <c r="B66" s="6"/>
      <c r="C66" s="6"/>
      <c r="D66" s="7" t="str">
        <f>IF(OR(B66&lt;&gt;"",C66&lt;&gt;""),IFERROR(IF(ISNUMBER(B66),B66,0)+IF(ISNUMBER(C66),C66,0),""),"")</f>
        <v/>
      </c>
      <c r="E66" s="6"/>
      <c r="F66" s="6"/>
      <c r="G66" s="6"/>
      <c r="H66" s="6"/>
      <c r="I66" s="6"/>
      <c r="J66" s="6"/>
      <c r="K66" s="7" t="str">
        <f>IF(COUNTA(E66:J66)&gt;0,SUM(E66:J66),"")</f>
        <v/>
      </c>
      <c r="L66" s="6"/>
      <c r="M66" s="6"/>
      <c r="N66" s="7" t="str">
        <f>IF(AND(L66&lt;&gt;"",M66&lt;&gt;""),L66-M66,"")</f>
        <v/>
      </c>
      <c r="O66" s="6"/>
      <c r="P66" s="6"/>
      <c r="Q66" s="6"/>
      <c r="R66" s="5"/>
    </row>
    <row r="67" spans="1:18" ht="18" customHeight="1" x14ac:dyDescent="0.35">
      <c r="A67" s="42" t="s">
        <v>147</v>
      </c>
      <c r="B67" s="42"/>
      <c r="C67" s="42"/>
      <c r="D67" s="42"/>
      <c r="E67" s="42"/>
      <c r="F67" s="42"/>
      <c r="G67" s="42"/>
      <c r="H67" s="42"/>
      <c r="I67" s="42"/>
      <c r="J67" s="42"/>
      <c r="K67" s="42"/>
      <c r="L67" s="42"/>
      <c r="M67" s="42"/>
      <c r="N67" s="42"/>
      <c r="O67" s="42"/>
      <c r="P67" s="42"/>
      <c r="Q67" s="42"/>
      <c r="R67" s="42"/>
    </row>
    <row r="68" spans="1:18" ht="19.5" customHeight="1" x14ac:dyDescent="0.35">
      <c r="A68" s="3" t="s">
        <v>146</v>
      </c>
      <c r="B68" s="6"/>
      <c r="C68" s="6"/>
      <c r="D68" s="7" t="str">
        <f>IF(OR(B68&lt;&gt;"",C68&lt;&gt;""),IFERROR(IF(ISNUMBER(B68),B68,0)+IF(ISNUMBER(C68),C68,0),""),"")</f>
        <v/>
      </c>
      <c r="E68" s="6"/>
      <c r="F68" s="6"/>
      <c r="G68" s="6"/>
      <c r="H68" s="6"/>
      <c r="I68" s="6"/>
      <c r="J68" s="6"/>
      <c r="K68" s="7" t="str">
        <f>IF(COUNTA(E68:J68)&gt;0,SUM(E68:J68),"")</f>
        <v/>
      </c>
      <c r="L68" s="6"/>
      <c r="M68" s="6"/>
      <c r="N68" s="7" t="str">
        <f>IF(AND(L68&lt;&gt;"",M68&lt;&gt;""),L68-M68,"")</f>
        <v/>
      </c>
      <c r="O68" s="6"/>
      <c r="P68" s="6"/>
      <c r="Q68" s="6"/>
      <c r="R68" s="5"/>
    </row>
    <row r="69" spans="1:18" ht="19.5" customHeight="1" x14ac:dyDescent="0.35">
      <c r="A69" s="3" t="s">
        <v>145</v>
      </c>
      <c r="B69" s="6"/>
      <c r="C69" s="6"/>
      <c r="D69" s="7" t="str">
        <f>IF(OR(B69&lt;&gt;"",C69&lt;&gt;""),IFERROR(IF(ISNUMBER(B69),B69,0)+IF(ISNUMBER(C69),C69,0),""),"")</f>
        <v/>
      </c>
      <c r="E69" s="6"/>
      <c r="F69" s="6"/>
      <c r="G69" s="6"/>
      <c r="H69" s="6"/>
      <c r="I69" s="6"/>
      <c r="J69" s="6"/>
      <c r="K69" s="7" t="str">
        <f>IF(COUNTA(E69:J69)&gt;0,SUM(E69:J69),"")</f>
        <v/>
      </c>
      <c r="L69" s="6"/>
      <c r="M69" s="6"/>
      <c r="N69" s="7" t="str">
        <f>IF(AND(L69&lt;&gt;"",M69&lt;&gt;""),L69-M69,"")</f>
        <v/>
      </c>
      <c r="O69" s="6"/>
      <c r="P69" s="6"/>
      <c r="Q69" s="6"/>
      <c r="R69" s="5"/>
    </row>
    <row r="70" spans="1:18" ht="18" customHeight="1" x14ac:dyDescent="0.35">
      <c r="A70" s="42" t="s">
        <v>144</v>
      </c>
      <c r="B70" s="42"/>
      <c r="C70" s="42"/>
      <c r="D70" s="42"/>
      <c r="E70" s="42"/>
      <c r="F70" s="42"/>
      <c r="G70" s="42"/>
      <c r="H70" s="42"/>
      <c r="I70" s="42"/>
      <c r="J70" s="42"/>
      <c r="K70" s="42"/>
      <c r="L70" s="42"/>
      <c r="M70" s="42"/>
      <c r="N70" s="42"/>
      <c r="O70" s="42"/>
      <c r="P70" s="42"/>
      <c r="Q70" s="42"/>
      <c r="R70" s="42"/>
    </row>
    <row r="71" spans="1:18" ht="19.5" customHeight="1" x14ac:dyDescent="0.35">
      <c r="A71" s="3" t="s">
        <v>143</v>
      </c>
      <c r="B71" s="6"/>
      <c r="C71" s="6"/>
      <c r="D71" s="7" t="str">
        <f>IF(OR(B71&lt;&gt;"",C71&lt;&gt;""),IFERROR(IF(ISNUMBER(B71),B71,0)+IF(ISNUMBER(C71),C71,0),""),"")</f>
        <v/>
      </c>
      <c r="E71" s="6"/>
      <c r="F71" s="6"/>
      <c r="G71" s="6"/>
      <c r="H71" s="6"/>
      <c r="I71" s="6"/>
      <c r="J71" s="6"/>
      <c r="K71" s="7" t="str">
        <f>IF(COUNTA(E71:J71)&gt;0,SUM(E71:J71),"")</f>
        <v/>
      </c>
      <c r="L71" s="6"/>
      <c r="M71" s="6"/>
      <c r="N71" s="7" t="str">
        <f>IF(AND(L71&lt;&gt;"",M71&lt;&gt;""),L71-M71,"")</f>
        <v/>
      </c>
      <c r="O71" s="6"/>
      <c r="P71" s="6"/>
      <c r="Q71" s="6"/>
      <c r="R71" s="5"/>
    </row>
    <row r="72" spans="1:18" ht="18" customHeight="1" x14ac:dyDescent="0.35">
      <c r="A72" s="42" t="s">
        <v>142</v>
      </c>
      <c r="B72" s="42"/>
      <c r="C72" s="42"/>
      <c r="D72" s="42"/>
      <c r="E72" s="42"/>
      <c r="F72" s="42"/>
      <c r="G72" s="42"/>
      <c r="H72" s="42"/>
      <c r="I72" s="42"/>
      <c r="J72" s="42"/>
      <c r="K72" s="42"/>
      <c r="L72" s="42"/>
      <c r="M72" s="42"/>
      <c r="N72" s="42"/>
      <c r="O72" s="42"/>
      <c r="P72" s="42"/>
      <c r="Q72" s="42"/>
      <c r="R72" s="42"/>
    </row>
    <row r="73" spans="1:18" ht="19.5" customHeight="1" x14ac:dyDescent="0.35">
      <c r="A73" s="3" t="s">
        <v>141</v>
      </c>
      <c r="B73" s="6"/>
      <c r="C73" s="6"/>
      <c r="D73" s="7" t="str">
        <f>IF(OR(B73&lt;&gt;"",C73&lt;&gt;""),IFERROR(IF(ISNUMBER(B73),B73,0)+IF(ISNUMBER(C73),C73,0),""),"")</f>
        <v/>
      </c>
      <c r="E73" s="6"/>
      <c r="F73" s="6"/>
      <c r="G73" s="6"/>
      <c r="H73" s="6"/>
      <c r="I73" s="6"/>
      <c r="J73" s="6"/>
      <c r="K73" s="7" t="str">
        <f>IF(COUNTA(E73:J73)&gt;0,SUM(E73:J73),"")</f>
        <v/>
      </c>
      <c r="L73" s="6"/>
      <c r="M73" s="6"/>
      <c r="N73" s="7" t="str">
        <f>IF(AND(L73&lt;&gt;"",M73&lt;&gt;""),L73-M73,"")</f>
        <v/>
      </c>
      <c r="O73" s="6"/>
      <c r="P73" s="6"/>
      <c r="Q73" s="6"/>
      <c r="R73" s="5"/>
    </row>
    <row r="74" spans="1:18" ht="19.5" customHeight="1" x14ac:dyDescent="0.35">
      <c r="A74" s="3" t="s">
        <v>140</v>
      </c>
      <c r="B74" s="6"/>
      <c r="C74" s="6"/>
      <c r="D74" s="7" t="str">
        <f>IF(OR(B74&lt;&gt;"",C74&lt;&gt;""),IFERROR(IF(ISNUMBER(B74),B74,0)+IF(ISNUMBER(C74),C74,0),""),"")</f>
        <v/>
      </c>
      <c r="E74" s="6"/>
      <c r="F74" s="6"/>
      <c r="G74" s="6"/>
      <c r="H74" s="6"/>
      <c r="I74" s="6"/>
      <c r="J74" s="6"/>
      <c r="K74" s="7" t="str">
        <f>IF(COUNTA(E74:J74)&gt;0,SUM(E74:J74),"")</f>
        <v/>
      </c>
      <c r="L74" s="6"/>
      <c r="M74" s="6"/>
      <c r="N74" s="7" t="str">
        <f>IF(AND(L74&lt;&gt;"",M74&lt;&gt;""),L74-M74,"")</f>
        <v/>
      </c>
      <c r="O74" s="6"/>
      <c r="P74" s="6"/>
      <c r="Q74" s="6"/>
      <c r="R74" s="5"/>
    </row>
    <row r="75" spans="1:18" ht="19.5" customHeight="1" x14ac:dyDescent="0.35">
      <c r="A75" s="3" t="s">
        <v>139</v>
      </c>
      <c r="B75" s="6"/>
      <c r="C75" s="6"/>
      <c r="D75" s="7" t="str">
        <f>IF(OR(B75&lt;&gt;"",C75&lt;&gt;""),IFERROR(IF(ISNUMBER(B75),B75,0)+IF(ISNUMBER(C75),C75,0),""),"")</f>
        <v/>
      </c>
      <c r="E75" s="6"/>
      <c r="F75" s="6"/>
      <c r="G75" s="6"/>
      <c r="H75" s="6"/>
      <c r="I75" s="6"/>
      <c r="J75" s="6"/>
      <c r="K75" s="7" t="str">
        <f>IF(COUNTA(E75:J75)&gt;0,SUM(E75:J75),"")</f>
        <v/>
      </c>
      <c r="L75" s="6"/>
      <c r="M75" s="6"/>
      <c r="N75" s="7" t="str">
        <f>IF(AND(L75&lt;&gt;"",M75&lt;&gt;""),L75-M75,"")</f>
        <v/>
      </c>
      <c r="O75" s="6"/>
      <c r="P75" s="6"/>
      <c r="Q75" s="6"/>
      <c r="R75" s="5"/>
    </row>
    <row r="76" spans="1:18" ht="18" customHeight="1" x14ac:dyDescent="0.35">
      <c r="A76" s="42" t="s">
        <v>138</v>
      </c>
      <c r="B76" s="42"/>
      <c r="C76" s="42"/>
      <c r="D76" s="42"/>
      <c r="E76" s="42"/>
      <c r="F76" s="42"/>
      <c r="G76" s="42"/>
      <c r="H76" s="42"/>
      <c r="I76" s="42"/>
      <c r="J76" s="42"/>
      <c r="K76" s="42"/>
      <c r="L76" s="42"/>
      <c r="M76" s="42"/>
      <c r="N76" s="42"/>
      <c r="O76" s="42"/>
      <c r="P76" s="42"/>
      <c r="Q76" s="42"/>
      <c r="R76" s="42"/>
    </row>
    <row r="77" spans="1:18" ht="19.5" customHeight="1" x14ac:dyDescent="0.35">
      <c r="A77" s="3" t="s">
        <v>137</v>
      </c>
      <c r="B77" s="6"/>
      <c r="C77" s="6"/>
      <c r="D77" s="7" t="str">
        <f>IF(OR(B77&lt;&gt;"",C77&lt;&gt;""),IFERROR(IF(ISNUMBER(B77),B77,0)+IF(ISNUMBER(C77),C77,0),""),"")</f>
        <v/>
      </c>
      <c r="E77" s="6"/>
      <c r="F77" s="6"/>
      <c r="G77" s="6"/>
      <c r="H77" s="6"/>
      <c r="I77" s="6"/>
      <c r="J77" s="6"/>
      <c r="K77" s="7" t="str">
        <f>IF(COUNTA(E77:J77)&gt;0,SUM(E77:J77),"")</f>
        <v/>
      </c>
      <c r="L77" s="6"/>
      <c r="M77" s="6"/>
      <c r="N77" s="7" t="str">
        <f>IF(AND(L77&lt;&gt;"",M77&lt;&gt;""),L77-M77,"")</f>
        <v/>
      </c>
      <c r="O77" s="6"/>
      <c r="P77" s="6"/>
      <c r="Q77" s="6"/>
      <c r="R77" s="5"/>
    </row>
    <row r="78" spans="1:18" ht="18" customHeight="1" x14ac:dyDescent="0.35">
      <c r="A78" s="42" t="s">
        <v>136</v>
      </c>
      <c r="B78" s="42"/>
      <c r="C78" s="42"/>
      <c r="D78" s="42"/>
      <c r="E78" s="42"/>
      <c r="F78" s="42"/>
      <c r="G78" s="42"/>
      <c r="H78" s="42"/>
      <c r="I78" s="42"/>
      <c r="J78" s="42"/>
      <c r="K78" s="42"/>
      <c r="L78" s="42"/>
      <c r="M78" s="42"/>
      <c r="N78" s="42"/>
      <c r="O78" s="42"/>
      <c r="P78" s="42"/>
      <c r="Q78" s="42"/>
      <c r="R78" s="42"/>
    </row>
    <row r="79" spans="1:18" ht="19.5" customHeight="1" x14ac:dyDescent="0.35">
      <c r="A79" s="3" t="s">
        <v>135</v>
      </c>
      <c r="B79" s="6"/>
      <c r="C79" s="6"/>
      <c r="D79" s="7" t="str">
        <f>IF(OR(B79&lt;&gt;"",C79&lt;&gt;""),IFERROR(IF(ISNUMBER(B79),B79,0)+IF(ISNUMBER(C79),C79,0),""),"")</f>
        <v/>
      </c>
      <c r="E79" s="6"/>
      <c r="F79" s="6"/>
      <c r="G79" s="6"/>
      <c r="H79" s="6"/>
      <c r="I79" s="6"/>
      <c r="J79" s="6"/>
      <c r="K79" s="7" t="str">
        <f>IF(COUNTA(E79:J79)&gt;0,SUM(E79:J79),"")</f>
        <v/>
      </c>
      <c r="L79" s="6"/>
      <c r="M79" s="6"/>
      <c r="N79" s="7" t="str">
        <f>IF(AND(L79&lt;&gt;"",M79&lt;&gt;""),L79-M79,"")</f>
        <v/>
      </c>
      <c r="O79" s="6"/>
      <c r="P79" s="6"/>
      <c r="Q79" s="6"/>
      <c r="R79" s="5"/>
    </row>
    <row r="80" spans="1:18" ht="19.5" customHeight="1" x14ac:dyDescent="0.35">
      <c r="A80" s="3" t="s">
        <v>134</v>
      </c>
      <c r="B80" s="6"/>
      <c r="C80" s="6"/>
      <c r="D80" s="7" t="str">
        <f>IF(OR(B80&lt;&gt;"",C80&lt;&gt;""),IFERROR(IF(ISNUMBER(B80),B80,0)+IF(ISNUMBER(C80),C80,0),""),"")</f>
        <v/>
      </c>
      <c r="E80" s="6"/>
      <c r="F80" s="6"/>
      <c r="G80" s="6"/>
      <c r="H80" s="6"/>
      <c r="I80" s="6"/>
      <c r="J80" s="6"/>
      <c r="K80" s="7" t="str">
        <f>IF(COUNTA(E80:J80)&gt;0,SUM(E80:J80),"")</f>
        <v/>
      </c>
      <c r="L80" s="6"/>
      <c r="M80" s="6"/>
      <c r="N80" s="7" t="str">
        <f>IF(AND(L80&lt;&gt;"",M80&lt;&gt;""),L80-M80,"")</f>
        <v/>
      </c>
      <c r="O80" s="6"/>
      <c r="P80" s="6"/>
      <c r="Q80" s="6"/>
      <c r="R80" s="5"/>
    </row>
    <row r="81" spans="1:18" ht="19.5" customHeight="1" x14ac:dyDescent="0.35">
      <c r="A81" s="3" t="s">
        <v>133</v>
      </c>
      <c r="B81" s="6"/>
      <c r="C81" s="6"/>
      <c r="D81" s="7" t="str">
        <f>IF(OR(B81&lt;&gt;"",C81&lt;&gt;""),IFERROR(IF(ISNUMBER(B81),B81,0)+IF(ISNUMBER(C81),C81,0),""),"")</f>
        <v/>
      </c>
      <c r="E81" s="6"/>
      <c r="F81" s="6"/>
      <c r="G81" s="6"/>
      <c r="H81" s="6"/>
      <c r="I81" s="6"/>
      <c r="J81" s="6"/>
      <c r="K81" s="7" t="str">
        <f>IF(COUNTA(E81:J81)&gt;0,SUM(E81:J81),"")</f>
        <v/>
      </c>
      <c r="L81" s="6"/>
      <c r="M81" s="6"/>
      <c r="N81" s="7" t="str">
        <f>IF(AND(L81&lt;&gt;"",M81&lt;&gt;""),L81-M81,"")</f>
        <v/>
      </c>
      <c r="O81" s="6"/>
      <c r="P81" s="6"/>
      <c r="Q81" s="6"/>
      <c r="R81" s="5"/>
    </row>
    <row r="82" spans="1:18" ht="19.5" customHeight="1" x14ac:dyDescent="0.35">
      <c r="A82" s="3" t="s">
        <v>132</v>
      </c>
      <c r="B82" s="6"/>
      <c r="C82" s="6"/>
      <c r="D82" s="7" t="str">
        <f>IF(OR(B82&lt;&gt;"",C82&lt;&gt;""),IFERROR(IF(ISNUMBER(B82),B82,0)+IF(ISNUMBER(C82),C82,0),""),"")</f>
        <v/>
      </c>
      <c r="E82" s="6"/>
      <c r="F82" s="6"/>
      <c r="G82" s="6"/>
      <c r="H82" s="6"/>
      <c r="I82" s="6"/>
      <c r="J82" s="6"/>
      <c r="K82" s="7" t="str">
        <f>IF(COUNTA(E82:J82)&gt;0,SUM(E82:J82),"")</f>
        <v/>
      </c>
      <c r="L82" s="6"/>
      <c r="M82" s="6"/>
      <c r="N82" s="7" t="str">
        <f>IF(AND(L82&lt;&gt;"",M82&lt;&gt;""),L82-M82,"")</f>
        <v/>
      </c>
      <c r="O82" s="6"/>
      <c r="P82" s="6"/>
      <c r="Q82" s="6"/>
      <c r="R82" s="5"/>
    </row>
    <row r="83" spans="1:18" ht="19.5" customHeight="1" x14ac:dyDescent="0.35">
      <c r="A83" s="3" t="s">
        <v>131</v>
      </c>
      <c r="B83" s="6"/>
      <c r="C83" s="6"/>
      <c r="D83" s="7" t="str">
        <f>IF(OR(B83&lt;&gt;"",C83&lt;&gt;""),IFERROR(IF(ISNUMBER(B83),B83,0)+IF(ISNUMBER(C83),C83,0),""),"")</f>
        <v/>
      </c>
      <c r="E83" s="6"/>
      <c r="F83" s="6"/>
      <c r="G83" s="6"/>
      <c r="H83" s="6"/>
      <c r="I83" s="6"/>
      <c r="J83" s="6"/>
      <c r="K83" s="7" t="str">
        <f>IF(COUNTA(E83:J83)&gt;0,SUM(E83:J83),"")</f>
        <v/>
      </c>
      <c r="L83" s="6"/>
      <c r="M83" s="6"/>
      <c r="N83" s="7" t="str">
        <f>IF(AND(L83&lt;&gt;"",M83&lt;&gt;""),L83-M83,"")</f>
        <v/>
      </c>
      <c r="O83" s="6"/>
      <c r="P83" s="6"/>
      <c r="Q83" s="6"/>
      <c r="R83" s="5"/>
    </row>
    <row r="84" spans="1:18" ht="18" customHeight="1" x14ac:dyDescent="0.35">
      <c r="A84" s="42" t="s">
        <v>130</v>
      </c>
      <c r="B84" s="42"/>
      <c r="C84" s="42"/>
      <c r="D84" s="42"/>
      <c r="E84" s="42"/>
      <c r="F84" s="42"/>
      <c r="G84" s="42"/>
      <c r="H84" s="42"/>
      <c r="I84" s="42"/>
      <c r="J84" s="42"/>
      <c r="K84" s="42"/>
      <c r="L84" s="42"/>
      <c r="M84" s="42"/>
      <c r="N84" s="42"/>
      <c r="O84" s="42"/>
      <c r="P84" s="42"/>
      <c r="Q84" s="42"/>
      <c r="R84" s="42"/>
    </row>
    <row r="85" spans="1:18" ht="19.5" customHeight="1" x14ac:dyDescent="0.35">
      <c r="A85" s="3" t="s">
        <v>129</v>
      </c>
      <c r="B85" s="6"/>
      <c r="C85" s="6"/>
      <c r="D85" s="7" t="str">
        <f>IF(OR(B85&lt;&gt;"",C85&lt;&gt;""),IFERROR(IF(ISNUMBER(B85),B85,0)+IF(ISNUMBER(C85),C85,0),""),"")</f>
        <v/>
      </c>
      <c r="E85" s="6"/>
      <c r="F85" s="6"/>
      <c r="G85" s="6"/>
      <c r="H85" s="6"/>
      <c r="I85" s="6"/>
      <c r="J85" s="6"/>
      <c r="K85" s="7" t="str">
        <f>IF(COUNTA(E85:J85)&gt;0,SUM(E85:J85),"")</f>
        <v/>
      </c>
      <c r="L85" s="6"/>
      <c r="M85" s="6"/>
      <c r="N85" s="7" t="str">
        <f>IF(AND(L85&lt;&gt;"",M85&lt;&gt;""),L85-M85,"")</f>
        <v/>
      </c>
      <c r="O85" s="6"/>
      <c r="P85" s="6"/>
      <c r="Q85" s="6"/>
      <c r="R85" s="5"/>
    </row>
    <row r="86" spans="1:18" ht="19.5" customHeight="1" x14ac:dyDescent="0.35">
      <c r="A86" s="3" t="s">
        <v>128</v>
      </c>
      <c r="B86" s="6"/>
      <c r="C86" s="6"/>
      <c r="D86" s="7" t="str">
        <f>IF(OR(B86&lt;&gt;"",C86&lt;&gt;""),IFERROR(IF(ISNUMBER(B86),B86,0)+IF(ISNUMBER(C86),C86,0),""),"")</f>
        <v/>
      </c>
      <c r="E86" s="6"/>
      <c r="F86" s="6"/>
      <c r="G86" s="6"/>
      <c r="H86" s="6"/>
      <c r="I86" s="6"/>
      <c r="J86" s="6"/>
      <c r="K86" s="7" t="str">
        <f>IF(COUNTA(E86:J86)&gt;0,SUM(E86:J86),"")</f>
        <v/>
      </c>
      <c r="L86" s="6"/>
      <c r="M86" s="6"/>
      <c r="N86" s="7" t="str">
        <f>IF(AND(L86&lt;&gt;"",M86&lt;&gt;""),L86-M86,"")</f>
        <v/>
      </c>
      <c r="O86" s="6"/>
      <c r="P86" s="6"/>
      <c r="Q86" s="6"/>
      <c r="R86" s="5"/>
    </row>
    <row r="87" spans="1:18" ht="19.5" customHeight="1" x14ac:dyDescent="0.35">
      <c r="A87" s="3" t="s">
        <v>127</v>
      </c>
      <c r="B87" s="6"/>
      <c r="C87" s="6"/>
      <c r="D87" s="7" t="str">
        <f>IF(OR(B87&lt;&gt;"",C87&lt;&gt;""),IFERROR(IF(ISNUMBER(B87),B87,0)+IF(ISNUMBER(C87),C87,0),""),"")</f>
        <v/>
      </c>
      <c r="E87" s="6"/>
      <c r="F87" s="6"/>
      <c r="G87" s="6"/>
      <c r="H87" s="6"/>
      <c r="I87" s="6"/>
      <c r="J87" s="6"/>
      <c r="K87" s="7" t="str">
        <f>IF(COUNTA(E87:J87)&gt;0,SUM(E87:J87),"")</f>
        <v/>
      </c>
      <c r="L87" s="6"/>
      <c r="M87" s="6"/>
      <c r="N87" s="7" t="str">
        <f>IF(AND(L87&lt;&gt;"",M87&lt;&gt;""),L87-M87,"")</f>
        <v/>
      </c>
      <c r="O87" s="6"/>
      <c r="P87" s="6"/>
      <c r="Q87" s="6"/>
      <c r="R87" s="5"/>
    </row>
    <row r="88" spans="1:18" ht="19.5" customHeight="1" x14ac:dyDescent="0.35">
      <c r="A88" s="3" t="s">
        <v>126</v>
      </c>
      <c r="B88" s="6"/>
      <c r="C88" s="6"/>
      <c r="D88" s="7" t="str">
        <f>IF(OR(B88&lt;&gt;"",C88&lt;&gt;""),IFERROR(IF(ISNUMBER(B88),B88,0)+IF(ISNUMBER(C88),C88,0),""),"")</f>
        <v/>
      </c>
      <c r="E88" s="6"/>
      <c r="F88" s="6"/>
      <c r="G88" s="6"/>
      <c r="H88" s="6"/>
      <c r="I88" s="6"/>
      <c r="J88" s="6"/>
      <c r="K88" s="7" t="str">
        <f>IF(COUNTA(E88:J88)&gt;0,SUM(E88:J88),"")</f>
        <v/>
      </c>
      <c r="L88" s="6"/>
      <c r="M88" s="6"/>
      <c r="N88" s="7" t="str">
        <f>IF(AND(L88&lt;&gt;"",M88&lt;&gt;""),L88-M88,"")</f>
        <v/>
      </c>
      <c r="O88" s="6"/>
      <c r="P88" s="6"/>
      <c r="Q88" s="6"/>
      <c r="R88" s="5"/>
    </row>
    <row r="89" spans="1:18" ht="19.5" customHeight="1" x14ac:dyDescent="0.35">
      <c r="A89" s="3" t="s">
        <v>125</v>
      </c>
      <c r="B89" s="6"/>
      <c r="C89" s="6"/>
      <c r="D89" s="7" t="str">
        <f>IF(OR(B89&lt;&gt;"",C89&lt;&gt;""),IFERROR(IF(ISNUMBER(B89),B89,0)+IF(ISNUMBER(C89),C89,0),""),"")</f>
        <v/>
      </c>
      <c r="E89" s="6"/>
      <c r="F89" s="6"/>
      <c r="G89" s="6"/>
      <c r="H89" s="6"/>
      <c r="I89" s="6"/>
      <c r="J89" s="6"/>
      <c r="K89" s="7" t="str">
        <f>IF(COUNTA(E89:J89)&gt;0,SUM(E89:J89),"")</f>
        <v/>
      </c>
      <c r="L89" s="6"/>
      <c r="M89" s="6"/>
      <c r="N89" s="7" t="str">
        <f>IF(AND(L89&lt;&gt;"",M89&lt;&gt;""),L89-M89,"")</f>
        <v/>
      </c>
      <c r="O89" s="6"/>
      <c r="P89" s="6"/>
      <c r="Q89" s="6"/>
      <c r="R89" s="5"/>
    </row>
    <row r="90" spans="1:18" ht="21.75" customHeight="1" x14ac:dyDescent="0.35">
      <c r="A90" s="4" t="s">
        <v>124</v>
      </c>
      <c r="B90" s="2">
        <f t="shared" ref="B90:Q90" si="3">IF(ISNUMBER(B13),B13,0)+IF(ISNUMBER(B14),B14,0)+IF(ISNUMBER(B16),B16,0)+IF(ISNUMBER(B17),B17,0)+IF(ISNUMBER(B18),B18,0)+IF(ISNUMBER(B19),B19,0)+IF(ISNUMBER(B20),B20,0)+IF(ISNUMBER(B21),B21,0)+IF(ISNUMBER(B22),B22,0)+IF(ISNUMBER(B23),B23,0)+IF(ISNUMBER(B25),B25,0)+IF(ISNUMBER(B27),B27,0)+IF(ISNUMBER(B28),B28,0)+IF(ISNUMBER(B29),B29,0)+IF(ISNUMBER(B30),B30,0)+IF(ISNUMBER(B31),B31,0)+IF(ISNUMBER(B33),B33,0)+IF(ISNUMBER(B34),B34,0)+IF(ISNUMBER(B35),B35,0)+IF(ISNUMBER(B37),B37,0)+IF(ISNUMBER(B38),B38,0)+IF(ISNUMBER(B40),B40,0)+IF(ISNUMBER(B42),B42,0)+IF(ISNUMBER(B44),B44,0)+IF(ISNUMBER(B45),B45,0)+IF(ISNUMBER(B46),B46,0)+IF(ISNUMBER(B47),B47,0)+IF(ISNUMBER(B49),B49,0)+IF(ISNUMBER(B50),B50,0)+IF(ISNUMBER(B51),B51,0)+IF(ISNUMBER(B53),B53,0)+IF(ISNUMBER(B54),B54,0)+IF(ISNUMBER(B55),B55,0)+IF(ISNUMBER(B57),B57,0)+IF(ISNUMBER(B58),B58,0)+IF(ISNUMBER(B59),B59,0)+IF(ISNUMBER(B61),B61,0)+IF(ISNUMBER(B62),B62,0)+IF(ISNUMBER(B63),B63,0)+IF(ISNUMBER(B65),B65,0)+IF(ISNUMBER(B66),B66,0)+IF(ISNUMBER(B68),B68,0)+IF(ISNUMBER(B69),B69,0)+IF(ISNUMBER(B71),B71,0)+IF(ISNUMBER(B73),B73,0)+IF(ISNUMBER(B74),B74,0)+IF(ISNUMBER(B75),B75,0)+IF(ISNUMBER(B77),B77,0)+IF(ISNUMBER(B79),B79,0)+IF(ISNUMBER(B80),B80,0)+IF(ISNUMBER(B81),B81,0)+IF(ISNUMBER(B82),B82,0)+IF(ISNUMBER(B83),B83,0)+IF(ISNUMBER(B85),B85,0)+IF(ISNUMBER(B86),B86,0)+IF(ISNUMBER(B87),B87,0)+IF(ISNUMBER(B88),B88,0)+IF(ISNUMBER(B89),B89,0)</f>
        <v>0</v>
      </c>
      <c r="C90" s="2">
        <f t="shared" si="3"/>
        <v>0</v>
      </c>
      <c r="D90" s="2">
        <f t="shared" si="3"/>
        <v>0</v>
      </c>
      <c r="E90" s="2">
        <f t="shared" si="3"/>
        <v>0</v>
      </c>
      <c r="F90" s="2">
        <f t="shared" si="3"/>
        <v>0</v>
      </c>
      <c r="G90" s="2">
        <f t="shared" si="3"/>
        <v>0</v>
      </c>
      <c r="H90" s="2">
        <f t="shared" si="3"/>
        <v>0</v>
      </c>
      <c r="I90" s="2">
        <f t="shared" si="3"/>
        <v>0</v>
      </c>
      <c r="J90" s="2">
        <f t="shared" si="3"/>
        <v>0</v>
      </c>
      <c r="K90" s="2">
        <f t="shared" si="3"/>
        <v>0</v>
      </c>
      <c r="L90" s="2">
        <f t="shared" si="3"/>
        <v>0</v>
      </c>
      <c r="M90" s="2">
        <f t="shared" si="3"/>
        <v>0</v>
      </c>
      <c r="N90" s="2">
        <f t="shared" si="3"/>
        <v>0</v>
      </c>
      <c r="O90" s="2">
        <f t="shared" si="3"/>
        <v>0</v>
      </c>
      <c r="P90" s="2">
        <f t="shared" si="3"/>
        <v>0</v>
      </c>
      <c r="Q90" s="2">
        <f t="shared" si="3"/>
        <v>0</v>
      </c>
    </row>
    <row r="92" spans="1:18" ht="36" customHeight="1" x14ac:dyDescent="0.35">
      <c r="A92" s="45" t="s">
        <v>123</v>
      </c>
      <c r="B92" s="45"/>
      <c r="C92" s="45"/>
      <c r="D92" s="45"/>
      <c r="E92" s="45"/>
      <c r="F92" s="45"/>
      <c r="G92" s="45"/>
      <c r="H92" s="45"/>
      <c r="I92" s="45"/>
      <c r="J92" s="45"/>
      <c r="K92" s="45"/>
      <c r="L92" s="45"/>
      <c r="M92" s="45"/>
      <c r="N92" s="45"/>
      <c r="O92" s="45"/>
      <c r="P92" s="45"/>
      <c r="Q92" s="45"/>
      <c r="R92" s="45"/>
    </row>
  </sheetData>
  <mergeCells count="37">
    <mergeCell ref="A92:R92"/>
    <mergeCell ref="A70:R70"/>
    <mergeCell ref="A72:R72"/>
    <mergeCell ref="A76:R76"/>
    <mergeCell ref="A78:R78"/>
    <mergeCell ref="A84:R84"/>
    <mergeCell ref="A36:R36"/>
    <mergeCell ref="A39:R39"/>
    <mergeCell ref="A41:R41"/>
    <mergeCell ref="A43:R43"/>
    <mergeCell ref="A48:R48"/>
    <mergeCell ref="A52:R52"/>
    <mergeCell ref="A56:R56"/>
    <mergeCell ref="A60:R60"/>
    <mergeCell ref="A64:R64"/>
    <mergeCell ref="A67:R67"/>
    <mergeCell ref="A12:R12"/>
    <mergeCell ref="A15:R15"/>
    <mergeCell ref="A24:R24"/>
    <mergeCell ref="A26:R26"/>
    <mergeCell ref="A32:R32"/>
    <mergeCell ref="O6:P6"/>
    <mergeCell ref="L10:N10"/>
    <mergeCell ref="O10:R10"/>
    <mergeCell ref="A1:R1"/>
    <mergeCell ref="A2:R2"/>
    <mergeCell ref="A3:R3"/>
    <mergeCell ref="A4:R4"/>
    <mergeCell ref="A6:B6"/>
    <mergeCell ref="D6:E6"/>
    <mergeCell ref="G6:I6"/>
    <mergeCell ref="K6:M6"/>
    <mergeCell ref="A7:R7"/>
    <mergeCell ref="A8:R8"/>
    <mergeCell ref="A9:R9"/>
    <mergeCell ref="B10:D10"/>
    <mergeCell ref="E10:K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EC795-4C06-44E5-81A7-572083D2E65D}">
  <dimension ref="A1:P93"/>
  <sheetViews>
    <sheetView showGridLines="0" zoomScaleNormal="100" workbookViewId="0">
      <pane xSplit="1" ySplit="11" topLeftCell="B12" activePane="bottomRight" state="frozen"/>
      <selection activeCell="B10" sqref="B10:B11"/>
      <selection pane="topRight" activeCell="B10" sqref="B10:B11"/>
      <selection pane="bottomLeft" activeCell="B10" sqref="B10:B11"/>
      <selection pane="bottomRight" activeCell="A7" sqref="A7:N7"/>
    </sheetView>
  </sheetViews>
  <sheetFormatPr defaultColWidth="8.6328125" defaultRowHeight="14.5" x14ac:dyDescent="0.35"/>
  <cols>
    <col min="1" max="1" width="38" style="1" customWidth="1"/>
    <col min="2" max="2" width="18" style="1" customWidth="1"/>
    <col min="3" max="6" width="12" style="1" customWidth="1"/>
    <col min="7" max="9" width="14" style="1" customWidth="1"/>
    <col min="10" max="12" width="16" style="1" customWidth="1"/>
    <col min="13" max="13" width="20" style="1" customWidth="1"/>
    <col min="14" max="14" width="22" style="1" customWidth="1"/>
    <col min="15" max="16384" width="8.6328125" style="1"/>
  </cols>
  <sheetData>
    <row r="1" spans="1:16" ht="20" x14ac:dyDescent="0.35">
      <c r="A1" s="39" t="s">
        <v>319</v>
      </c>
      <c r="B1" s="39"/>
      <c r="C1" s="39"/>
      <c r="D1" s="39"/>
      <c r="E1" s="39"/>
      <c r="F1" s="39"/>
      <c r="G1" s="39"/>
      <c r="H1" s="39"/>
      <c r="I1" s="39"/>
      <c r="J1" s="39"/>
      <c r="K1" s="39"/>
      <c r="L1" s="39"/>
      <c r="M1" s="39"/>
      <c r="N1" s="39"/>
    </row>
    <row r="2" spans="1:16" x14ac:dyDescent="0.35">
      <c r="A2" s="40" t="s">
        <v>318</v>
      </c>
      <c r="B2" s="40"/>
      <c r="C2" s="40"/>
      <c r="D2" s="40"/>
      <c r="E2" s="40"/>
      <c r="F2" s="40"/>
      <c r="G2" s="40"/>
      <c r="H2" s="40"/>
      <c r="I2" s="40"/>
      <c r="J2" s="40"/>
      <c r="K2" s="40"/>
      <c r="L2" s="40"/>
      <c r="M2" s="40"/>
      <c r="N2" s="40"/>
    </row>
    <row r="3" spans="1:16" x14ac:dyDescent="0.35">
      <c r="A3" s="41" t="s">
        <v>232</v>
      </c>
      <c r="B3" s="41"/>
      <c r="C3" s="41"/>
      <c r="D3" s="41"/>
      <c r="E3" s="41"/>
      <c r="F3" s="41"/>
      <c r="G3" s="41"/>
      <c r="H3" s="41"/>
      <c r="I3" s="41"/>
      <c r="J3" s="41"/>
      <c r="K3" s="41"/>
      <c r="L3" s="41"/>
      <c r="M3" s="41"/>
      <c r="N3" s="41"/>
    </row>
    <row r="4" spans="1:16" x14ac:dyDescent="0.35">
      <c r="A4" s="35"/>
      <c r="B4" s="35"/>
      <c r="C4" s="35"/>
      <c r="D4" s="35"/>
      <c r="E4" s="35"/>
      <c r="F4" s="35"/>
      <c r="G4" s="35"/>
      <c r="H4" s="35"/>
      <c r="I4" s="35"/>
      <c r="J4" s="35"/>
      <c r="K4" s="35"/>
      <c r="L4" s="35"/>
      <c r="M4" s="35"/>
      <c r="N4" s="35"/>
    </row>
    <row r="5" spans="1:16" ht="15" thickBot="1" x14ac:dyDescent="0.4">
      <c r="A5" s="11" t="s">
        <v>231</v>
      </c>
      <c r="D5" s="11" t="s">
        <v>230</v>
      </c>
      <c r="G5" s="11" t="s">
        <v>229</v>
      </c>
      <c r="K5" s="11" t="s">
        <v>228</v>
      </c>
      <c r="O5" s="11" t="s">
        <v>79</v>
      </c>
    </row>
    <row r="6" spans="1:16" ht="15" thickBot="1" x14ac:dyDescent="0.4">
      <c r="A6" s="38"/>
      <c r="B6" s="38"/>
      <c r="D6" s="38"/>
      <c r="E6" s="38"/>
      <c r="G6" s="38"/>
      <c r="H6" s="38"/>
      <c r="I6" s="38"/>
      <c r="K6" s="38"/>
      <c r="L6" s="38"/>
      <c r="M6" s="38"/>
      <c r="O6" s="38"/>
      <c r="P6" s="38"/>
    </row>
    <row r="7" spans="1:16" x14ac:dyDescent="0.35">
      <c r="A7" s="43" t="s">
        <v>227</v>
      </c>
      <c r="B7" s="43"/>
      <c r="C7" s="43"/>
      <c r="D7" s="43"/>
      <c r="E7" s="43"/>
      <c r="F7" s="43"/>
      <c r="G7" s="43"/>
      <c r="H7" s="43"/>
      <c r="I7" s="43"/>
      <c r="J7" s="43"/>
      <c r="K7" s="43"/>
      <c r="L7" s="43"/>
      <c r="M7" s="43"/>
      <c r="N7" s="43"/>
    </row>
    <row r="8" spans="1:16" x14ac:dyDescent="0.35">
      <c r="A8" s="35"/>
      <c r="B8" s="35"/>
      <c r="C8" s="35"/>
      <c r="D8" s="35"/>
      <c r="E8" s="35"/>
      <c r="F8" s="35"/>
      <c r="G8" s="35"/>
      <c r="H8" s="35"/>
      <c r="I8" s="35"/>
      <c r="J8" s="35"/>
      <c r="K8" s="35"/>
      <c r="L8" s="35"/>
      <c r="M8" s="35"/>
      <c r="N8" s="35"/>
    </row>
    <row r="9" spans="1:16" x14ac:dyDescent="0.35">
      <c r="A9" s="47" t="s">
        <v>317</v>
      </c>
      <c r="B9" s="47"/>
      <c r="C9" s="47"/>
      <c r="D9" s="47"/>
      <c r="E9" s="47"/>
      <c r="F9" s="47"/>
      <c r="G9" s="47"/>
      <c r="H9" s="47"/>
      <c r="I9" s="47"/>
      <c r="J9" s="47"/>
      <c r="K9" s="47"/>
      <c r="L9" s="47"/>
      <c r="M9" s="47"/>
      <c r="N9" s="47"/>
    </row>
    <row r="10" spans="1:16" x14ac:dyDescent="0.35">
      <c r="A10" s="44" t="s">
        <v>316</v>
      </c>
      <c r="B10" s="44"/>
      <c r="C10" s="44"/>
      <c r="D10" s="44"/>
      <c r="E10" s="44"/>
      <c r="F10" s="44"/>
      <c r="G10" s="44"/>
      <c r="H10" s="44"/>
      <c r="I10" s="44"/>
      <c r="J10" s="44"/>
      <c r="K10" s="44"/>
      <c r="L10" s="44"/>
      <c r="M10" s="44"/>
      <c r="N10" s="44"/>
    </row>
    <row r="11" spans="1:16" ht="23" x14ac:dyDescent="0.35">
      <c r="A11" s="18" t="s">
        <v>315</v>
      </c>
      <c r="B11" s="18" t="s">
        <v>314</v>
      </c>
      <c r="C11" s="18" t="s">
        <v>313</v>
      </c>
      <c r="D11" s="18" t="s">
        <v>312</v>
      </c>
      <c r="E11" s="18" t="s">
        <v>311</v>
      </c>
      <c r="F11" s="18" t="s">
        <v>310</v>
      </c>
      <c r="G11" s="18" t="s">
        <v>309</v>
      </c>
      <c r="H11" s="18" t="s">
        <v>308</v>
      </c>
      <c r="I11" s="18" t="s">
        <v>307</v>
      </c>
      <c r="J11" s="18" t="s">
        <v>306</v>
      </c>
      <c r="K11" s="18" t="s">
        <v>305</v>
      </c>
      <c r="L11" s="18" t="s">
        <v>235</v>
      </c>
    </row>
    <row r="12" spans="1:16" x14ac:dyDescent="0.35">
      <c r="A12" s="42" t="s">
        <v>304</v>
      </c>
      <c r="B12" s="42"/>
      <c r="C12" s="42"/>
      <c r="D12" s="42"/>
      <c r="E12" s="42"/>
      <c r="F12" s="42"/>
      <c r="G12" s="42"/>
      <c r="H12" s="42"/>
      <c r="I12" s="42"/>
      <c r="J12" s="42"/>
      <c r="K12" s="42"/>
      <c r="L12" s="42"/>
      <c r="M12" s="42"/>
      <c r="N12" s="42"/>
    </row>
    <row r="13" spans="1:16" ht="25" x14ac:dyDescent="0.35">
      <c r="A13" s="3" t="s">
        <v>303</v>
      </c>
      <c r="B13" s="12"/>
      <c r="C13" s="6"/>
      <c r="D13" s="6"/>
      <c r="E13" s="6"/>
      <c r="F13" s="14" t="str">
        <f>IF(AND(C13&lt;&gt;"",C13&gt;0),E13/C13,"")</f>
        <v/>
      </c>
      <c r="G13" s="6"/>
      <c r="H13" s="6"/>
      <c r="I13" s="6"/>
      <c r="J13" s="7" t="str">
        <f>IF(COUNTA(C13,G13,H13)&gt;0,ROUND((IF(ISNUMBER(C13),C13,0)+IF(ISNUMBER(G13),G13,0)+IF(ISNUMBER(H13),H13,0))/MAX(1,ISNUMBER(C13)+ISNUMBER(G13)+ISNUMBER(H13)),1),"")</f>
        <v/>
      </c>
      <c r="K13" s="6"/>
      <c r="L13" s="46"/>
      <c r="M13" s="46"/>
      <c r="N13" s="46"/>
    </row>
    <row r="14" spans="1:16" ht="25" x14ac:dyDescent="0.35">
      <c r="A14" s="3" t="s">
        <v>302</v>
      </c>
      <c r="B14" s="12"/>
      <c r="C14" s="6"/>
      <c r="D14" s="6"/>
      <c r="E14" s="6"/>
      <c r="F14" s="14" t="str">
        <f>IF(AND(C14&lt;&gt;"",C14&gt;0),E14/C14,"")</f>
        <v/>
      </c>
      <c r="G14" s="6"/>
      <c r="H14" s="6"/>
      <c r="I14" s="6"/>
      <c r="J14" s="7" t="str">
        <f>IF(COUNTA(C14,G14,H14)&gt;0,ROUND((IF(ISNUMBER(C14),C14,0)+IF(ISNUMBER(G14),G14,0)+IF(ISNUMBER(H14),H14,0))/MAX(1,ISNUMBER(C14)+ISNUMBER(G14)+ISNUMBER(H14)),1),"")</f>
        <v/>
      </c>
      <c r="K14" s="6"/>
      <c r="L14" s="46"/>
      <c r="M14" s="46"/>
      <c r="N14" s="46"/>
    </row>
    <row r="15" spans="1:16" ht="25" x14ac:dyDescent="0.35">
      <c r="A15" s="3" t="s">
        <v>301</v>
      </c>
      <c r="B15" s="12"/>
      <c r="C15" s="6"/>
      <c r="D15" s="6"/>
      <c r="E15" s="6"/>
      <c r="F15" s="14" t="str">
        <f>IF(AND(C15&lt;&gt;"",C15&gt;0),E15/C15,"")</f>
        <v/>
      </c>
      <c r="G15" s="6"/>
      <c r="H15" s="6"/>
      <c r="I15" s="6"/>
      <c r="J15" s="7" t="str">
        <f>IF(COUNTA(C15,G15,H15)&gt;0,ROUND((IF(ISNUMBER(C15),C15,0)+IF(ISNUMBER(G15),G15,0)+IF(ISNUMBER(H15),H15,0))/MAX(1,ISNUMBER(C15)+ISNUMBER(G15)+ISNUMBER(H15)),1),"")</f>
        <v/>
      </c>
      <c r="K15" s="6"/>
      <c r="L15" s="46"/>
      <c r="M15" s="46"/>
      <c r="N15" s="46"/>
    </row>
    <row r="16" spans="1:16" x14ac:dyDescent="0.35">
      <c r="A16" s="42" t="s">
        <v>300</v>
      </c>
      <c r="B16" s="42"/>
      <c r="C16" s="42"/>
      <c r="D16" s="42"/>
      <c r="E16" s="42"/>
      <c r="F16" s="42"/>
      <c r="G16" s="42"/>
      <c r="H16" s="42"/>
      <c r="I16" s="42"/>
      <c r="J16" s="42"/>
      <c r="K16" s="42"/>
      <c r="L16" s="42"/>
      <c r="M16" s="42"/>
      <c r="N16" s="42"/>
    </row>
    <row r="17" spans="1:14" x14ac:dyDescent="0.35">
      <c r="A17" s="3" t="s">
        <v>299</v>
      </c>
      <c r="B17" s="12"/>
      <c r="C17" s="6"/>
      <c r="D17" s="6"/>
      <c r="E17" s="6"/>
      <c r="F17" s="14" t="str">
        <f>IF(AND(C17&lt;&gt;"",C17&gt;0),E17/C17,"")</f>
        <v/>
      </c>
      <c r="G17" s="6"/>
      <c r="H17" s="6"/>
      <c r="I17" s="6"/>
      <c r="J17" s="7" t="str">
        <f>IF(COUNTA(C17,G17,H17)&gt;0,ROUND((IF(ISNUMBER(C17),C17,0)+IF(ISNUMBER(G17),G17,0)+IF(ISNUMBER(H17),H17,0))/MAX(1,ISNUMBER(C17)+ISNUMBER(G17)+ISNUMBER(H17)),1),"")</f>
        <v/>
      </c>
      <c r="K17" s="6"/>
      <c r="L17" s="46"/>
      <c r="M17" s="46"/>
      <c r="N17" s="46"/>
    </row>
    <row r="18" spans="1:14" x14ac:dyDescent="0.35">
      <c r="A18" s="3" t="s">
        <v>298</v>
      </c>
      <c r="B18" s="12"/>
      <c r="C18" s="6"/>
      <c r="D18" s="6"/>
      <c r="E18" s="6"/>
      <c r="F18" s="14" t="str">
        <f>IF(AND(C18&lt;&gt;"",C18&gt;0),E18/C18,"")</f>
        <v/>
      </c>
      <c r="G18" s="6"/>
      <c r="H18" s="6"/>
      <c r="I18" s="6"/>
      <c r="J18" s="7" t="str">
        <f>IF(COUNTA(C18,G18,H18)&gt;0,ROUND((IF(ISNUMBER(C18),C18,0)+IF(ISNUMBER(G18),G18,0)+IF(ISNUMBER(H18),H18,0))/MAX(1,ISNUMBER(C18)+ISNUMBER(G18)+ISNUMBER(H18)),1),"")</f>
        <v/>
      </c>
      <c r="K18" s="6"/>
      <c r="L18" s="46"/>
      <c r="M18" s="46"/>
      <c r="N18" s="46"/>
    </row>
    <row r="19" spans="1:14" x14ac:dyDescent="0.35">
      <c r="A19" s="3" t="s">
        <v>297</v>
      </c>
      <c r="B19" s="12"/>
      <c r="C19" s="6"/>
      <c r="D19" s="6"/>
      <c r="E19" s="6"/>
      <c r="F19" s="14" t="str">
        <f>IF(AND(C19&lt;&gt;"",C19&gt;0),E19/C19,"")</f>
        <v/>
      </c>
      <c r="G19" s="6"/>
      <c r="H19" s="6"/>
      <c r="I19" s="6"/>
      <c r="J19" s="7" t="str">
        <f>IF(COUNTA(C19,G19,H19)&gt;0,ROUND((IF(ISNUMBER(C19),C19,0)+IF(ISNUMBER(G19),G19,0)+IF(ISNUMBER(H19),H19,0))/MAX(1,ISNUMBER(C19)+ISNUMBER(G19)+ISNUMBER(H19)),1),"")</f>
        <v/>
      </c>
      <c r="K19" s="6"/>
      <c r="L19" s="46"/>
      <c r="M19" s="46"/>
      <c r="N19" s="46"/>
    </row>
    <row r="20" spans="1:14" x14ac:dyDescent="0.35">
      <c r="A20" s="42" t="s">
        <v>296</v>
      </c>
      <c r="B20" s="42"/>
      <c r="C20" s="42"/>
      <c r="D20" s="42"/>
      <c r="E20" s="42"/>
      <c r="F20" s="42"/>
      <c r="G20" s="42"/>
      <c r="H20" s="42"/>
      <c r="I20" s="42"/>
      <c r="J20" s="42"/>
      <c r="K20" s="42"/>
      <c r="L20" s="42"/>
      <c r="M20" s="42"/>
      <c r="N20" s="42"/>
    </row>
    <row r="21" spans="1:14" ht="25" x14ac:dyDescent="0.35">
      <c r="A21" s="3" t="s">
        <v>295</v>
      </c>
      <c r="B21" s="12"/>
      <c r="C21" s="6"/>
      <c r="D21" s="6"/>
      <c r="E21" s="6"/>
      <c r="F21" s="14" t="str">
        <f>IF(AND(C21&lt;&gt;"",C21&gt;0),E21/C21,"")</f>
        <v/>
      </c>
      <c r="G21" s="6"/>
      <c r="H21" s="6"/>
      <c r="I21" s="6"/>
      <c r="J21" s="7" t="str">
        <f>IF(COUNTA(C21,G21,H21)&gt;0,ROUND((IF(ISNUMBER(C21),C21,0)+IF(ISNUMBER(G21),G21,0)+IF(ISNUMBER(H21),H21,0))/MAX(1,ISNUMBER(C21)+ISNUMBER(G21)+ISNUMBER(H21)),1),"")</f>
        <v/>
      </c>
      <c r="K21" s="6"/>
      <c r="L21" s="46"/>
      <c r="M21" s="46"/>
      <c r="N21" s="46"/>
    </row>
    <row r="22" spans="1:14" x14ac:dyDescent="0.35">
      <c r="A22" s="3" t="s">
        <v>294</v>
      </c>
      <c r="B22" s="12"/>
      <c r="C22" s="6"/>
      <c r="D22" s="6"/>
      <c r="E22" s="6"/>
      <c r="F22" s="14" t="str">
        <f>IF(AND(C22&lt;&gt;"",C22&gt;0),E22/C22,"")</f>
        <v/>
      </c>
      <c r="G22" s="6"/>
      <c r="H22" s="6"/>
      <c r="I22" s="6"/>
      <c r="J22" s="7" t="str">
        <f>IF(COUNTA(C22,G22,H22)&gt;0,ROUND((IF(ISNUMBER(C22),C22,0)+IF(ISNUMBER(G22),G22,0)+IF(ISNUMBER(H22),H22,0))/MAX(1,ISNUMBER(C22)+ISNUMBER(G22)+ISNUMBER(H22)),1),"")</f>
        <v/>
      </c>
      <c r="K22" s="6"/>
      <c r="L22" s="46"/>
      <c r="M22" s="46"/>
      <c r="N22" s="46"/>
    </row>
    <row r="23" spans="1:14" x14ac:dyDescent="0.35">
      <c r="A23" s="42" t="s">
        <v>293</v>
      </c>
      <c r="B23" s="42"/>
      <c r="C23" s="42"/>
      <c r="D23" s="42"/>
      <c r="E23" s="42"/>
      <c r="F23" s="42"/>
      <c r="G23" s="42"/>
      <c r="H23" s="42"/>
      <c r="I23" s="42"/>
      <c r="J23" s="42"/>
      <c r="K23" s="42"/>
      <c r="L23" s="42"/>
      <c r="M23" s="42"/>
      <c r="N23" s="42"/>
    </row>
    <row r="24" spans="1:14" x14ac:dyDescent="0.35">
      <c r="A24" s="3" t="s">
        <v>292</v>
      </c>
      <c r="B24" s="12"/>
      <c r="C24" s="6"/>
      <c r="D24" s="6"/>
      <c r="E24" s="6"/>
      <c r="F24" s="14" t="str">
        <f>IF(AND(C24&lt;&gt;"",C24&gt;0),E24/C24,"")</f>
        <v/>
      </c>
      <c r="G24" s="6"/>
      <c r="H24" s="6"/>
      <c r="I24" s="6"/>
      <c r="J24" s="7" t="str">
        <f>IF(COUNTA(C24,G24,H24)&gt;0,ROUND((IF(ISNUMBER(C24),C24,0)+IF(ISNUMBER(G24),G24,0)+IF(ISNUMBER(H24),H24,0))/MAX(1,ISNUMBER(C24)+ISNUMBER(G24)+ISNUMBER(H24)),1),"")</f>
        <v/>
      </c>
      <c r="K24" s="6"/>
      <c r="L24" s="46"/>
      <c r="M24" s="46"/>
      <c r="N24" s="46"/>
    </row>
    <row r="25" spans="1:14" x14ac:dyDescent="0.35">
      <c r="A25" s="3" t="s">
        <v>291</v>
      </c>
      <c r="B25" s="12"/>
      <c r="C25" s="6"/>
      <c r="D25" s="6"/>
      <c r="E25" s="6"/>
      <c r="F25" s="14" t="str">
        <f>IF(AND(C25&lt;&gt;"",C25&gt;0),E25/C25,"")</f>
        <v/>
      </c>
      <c r="G25" s="6"/>
      <c r="H25" s="6"/>
      <c r="I25" s="6"/>
      <c r="J25" s="7" t="str">
        <f>IF(COUNTA(C25,G25,H25)&gt;0,ROUND((IF(ISNUMBER(C25),C25,0)+IF(ISNUMBER(G25),G25,0)+IF(ISNUMBER(H25),H25,0))/MAX(1,ISNUMBER(C25)+ISNUMBER(G25)+ISNUMBER(H25)),1),"")</f>
        <v/>
      </c>
      <c r="K25" s="6"/>
      <c r="L25" s="46"/>
      <c r="M25" s="46"/>
      <c r="N25" s="46"/>
    </row>
    <row r="26" spans="1:14" x14ac:dyDescent="0.35">
      <c r="A26" s="3" t="s">
        <v>290</v>
      </c>
      <c r="B26" s="12"/>
      <c r="C26" s="6"/>
      <c r="D26" s="6"/>
      <c r="E26" s="6"/>
      <c r="F26" s="14" t="str">
        <f>IF(AND(C26&lt;&gt;"",C26&gt;0),E26/C26,"")</f>
        <v/>
      </c>
      <c r="G26" s="6"/>
      <c r="H26" s="6"/>
      <c r="I26" s="6"/>
      <c r="J26" s="7" t="str">
        <f>IF(COUNTA(C26,G26,H26)&gt;0,ROUND((IF(ISNUMBER(C26),C26,0)+IF(ISNUMBER(G26),G26,0)+IF(ISNUMBER(H26),H26,0))/MAX(1,ISNUMBER(C26)+ISNUMBER(G26)+ISNUMBER(H26)),1),"")</f>
        <v/>
      </c>
      <c r="K26" s="6"/>
      <c r="L26" s="46"/>
      <c r="M26" s="46"/>
      <c r="N26" s="46"/>
    </row>
    <row r="27" spans="1:14" x14ac:dyDescent="0.35">
      <c r="A27" s="42" t="s">
        <v>289</v>
      </c>
      <c r="B27" s="42"/>
      <c r="C27" s="42"/>
      <c r="D27" s="42"/>
      <c r="E27" s="42"/>
      <c r="F27" s="42"/>
      <c r="G27" s="42"/>
      <c r="H27" s="42"/>
      <c r="I27" s="42"/>
      <c r="J27" s="42"/>
      <c r="K27" s="42"/>
      <c r="L27" s="42"/>
      <c r="M27" s="42"/>
      <c r="N27" s="42"/>
    </row>
    <row r="28" spans="1:14" x14ac:dyDescent="0.35">
      <c r="A28" s="3" t="s">
        <v>288</v>
      </c>
      <c r="B28" s="12"/>
      <c r="C28" s="6"/>
      <c r="D28" s="6"/>
      <c r="E28" s="6"/>
      <c r="F28" s="14" t="str">
        <f>IF(AND(C28&lt;&gt;"",C28&gt;0),E28/C28,"")</f>
        <v/>
      </c>
      <c r="G28" s="6"/>
      <c r="H28" s="6"/>
      <c r="I28" s="6"/>
      <c r="J28" s="7" t="str">
        <f>IF(COUNTA(C28,G28,H28)&gt;0,ROUND((IF(ISNUMBER(C28),C28,0)+IF(ISNUMBER(G28),G28,0)+IF(ISNUMBER(H28),H28,0))/MAX(1,ISNUMBER(C28)+ISNUMBER(G28)+ISNUMBER(H28)),1),"")</f>
        <v/>
      </c>
      <c r="K28" s="6"/>
      <c r="L28" s="46"/>
      <c r="M28" s="46"/>
      <c r="N28" s="46"/>
    </row>
    <row r="29" spans="1:14" x14ac:dyDescent="0.35">
      <c r="A29" s="3" t="s">
        <v>287</v>
      </c>
      <c r="B29" s="12"/>
      <c r="C29" s="6"/>
      <c r="D29" s="6"/>
      <c r="E29" s="6"/>
      <c r="F29" s="14" t="str">
        <f>IF(AND(C29&lt;&gt;"",C29&gt;0),E29/C29,"")</f>
        <v/>
      </c>
      <c r="G29" s="6"/>
      <c r="H29" s="6"/>
      <c r="I29" s="6"/>
      <c r="J29" s="7" t="str">
        <f>IF(COUNTA(C29,G29,H29)&gt;0,ROUND((IF(ISNUMBER(C29),C29,0)+IF(ISNUMBER(G29),G29,0)+IF(ISNUMBER(H29),H29,0))/MAX(1,ISNUMBER(C29)+ISNUMBER(G29)+ISNUMBER(H29)),1),"")</f>
        <v/>
      </c>
      <c r="K29" s="6"/>
      <c r="L29" s="46"/>
      <c r="M29" s="46"/>
      <c r="N29" s="46"/>
    </row>
    <row r="30" spans="1:14" x14ac:dyDescent="0.35">
      <c r="A30" s="3" t="s">
        <v>286</v>
      </c>
      <c r="B30" s="12"/>
      <c r="C30" s="6"/>
      <c r="D30" s="6"/>
      <c r="E30" s="6"/>
      <c r="F30" s="14" t="str">
        <f>IF(AND(C30&lt;&gt;"",C30&gt;0),E30/C30,"")</f>
        <v/>
      </c>
      <c r="G30" s="6"/>
      <c r="H30" s="6"/>
      <c r="I30" s="6"/>
      <c r="J30" s="7" t="str">
        <f>IF(COUNTA(C30,G30,H30)&gt;0,ROUND((IF(ISNUMBER(C30),C30,0)+IF(ISNUMBER(G30),G30,0)+IF(ISNUMBER(H30),H30,0))/MAX(1,ISNUMBER(C30)+ISNUMBER(G30)+ISNUMBER(H30)),1),"")</f>
        <v/>
      </c>
      <c r="K30" s="6"/>
      <c r="L30" s="46"/>
      <c r="M30" s="46"/>
      <c r="N30" s="46"/>
    </row>
    <row r="31" spans="1:14" x14ac:dyDescent="0.35">
      <c r="A31" s="42" t="s">
        <v>285</v>
      </c>
      <c r="B31" s="42"/>
      <c r="C31" s="42"/>
      <c r="D31" s="42"/>
      <c r="E31" s="42"/>
      <c r="F31" s="42"/>
      <c r="G31" s="42"/>
      <c r="H31" s="42"/>
      <c r="I31" s="42"/>
      <c r="J31" s="42"/>
      <c r="K31" s="42"/>
      <c r="L31" s="42"/>
      <c r="M31" s="42"/>
      <c r="N31" s="42"/>
    </row>
    <row r="32" spans="1:14" x14ac:dyDescent="0.35">
      <c r="A32" s="3" t="s">
        <v>252</v>
      </c>
      <c r="B32" s="12"/>
      <c r="C32" s="6"/>
      <c r="D32" s="6"/>
      <c r="E32" s="6"/>
      <c r="F32" s="14" t="str">
        <f>IF(AND(C32&lt;&gt;"",C32&gt;0),E32/C32,"")</f>
        <v/>
      </c>
      <c r="G32" s="6"/>
      <c r="H32" s="6"/>
      <c r="I32" s="6"/>
      <c r="J32" s="7" t="str">
        <f>IF(COUNTA(C32,G32,H32)&gt;0,ROUND((IF(ISNUMBER(C32),C32,0)+IF(ISNUMBER(G32),G32,0)+IF(ISNUMBER(H32),H32,0))/MAX(1,ISNUMBER(C32)+ISNUMBER(G32)+ISNUMBER(H32)),1),"")</f>
        <v/>
      </c>
      <c r="K32" s="6"/>
      <c r="L32" s="46"/>
      <c r="M32" s="46"/>
      <c r="N32" s="46"/>
    </row>
    <row r="33" spans="1:14" x14ac:dyDescent="0.35">
      <c r="A33" s="3" t="s">
        <v>284</v>
      </c>
      <c r="B33" s="12"/>
      <c r="C33" s="6"/>
      <c r="D33" s="6"/>
      <c r="E33" s="6"/>
      <c r="F33" s="14" t="str">
        <f>IF(AND(C33&lt;&gt;"",C33&gt;0),E33/C33,"")</f>
        <v/>
      </c>
      <c r="G33" s="6"/>
      <c r="H33" s="6"/>
      <c r="I33" s="6"/>
      <c r="J33" s="7" t="str">
        <f>IF(COUNTA(C33,G33,H33)&gt;0,ROUND((IF(ISNUMBER(C33),C33,0)+IF(ISNUMBER(G33),G33,0)+IF(ISNUMBER(H33),H33,0))/MAX(1,ISNUMBER(C33)+ISNUMBER(G33)+ISNUMBER(H33)),1),"")</f>
        <v/>
      </c>
      <c r="K33" s="6"/>
      <c r="L33" s="46"/>
      <c r="M33" s="46"/>
      <c r="N33" s="46"/>
    </row>
    <row r="34" spans="1:14" x14ac:dyDescent="0.35">
      <c r="A34" s="42" t="s">
        <v>162</v>
      </c>
      <c r="B34" s="42"/>
      <c r="C34" s="42"/>
      <c r="D34" s="42"/>
      <c r="E34" s="42"/>
      <c r="F34" s="42"/>
      <c r="G34" s="42"/>
      <c r="H34" s="42"/>
      <c r="I34" s="42"/>
      <c r="J34" s="42"/>
      <c r="K34" s="42"/>
      <c r="L34" s="42"/>
      <c r="M34" s="42"/>
      <c r="N34" s="42"/>
    </row>
    <row r="35" spans="1:14" ht="25" x14ac:dyDescent="0.35">
      <c r="A35" s="3" t="s">
        <v>283</v>
      </c>
      <c r="B35" s="12"/>
      <c r="C35" s="6"/>
      <c r="D35" s="6"/>
      <c r="E35" s="6"/>
      <c r="F35" s="14" t="str">
        <f>IF(AND(C35&lt;&gt;"",C35&gt;0),E35/C35,"")</f>
        <v/>
      </c>
      <c r="G35" s="6"/>
      <c r="H35" s="6"/>
      <c r="I35" s="6"/>
      <c r="J35" s="7" t="str">
        <f>IF(COUNTA(C35,G35,H35)&gt;0,ROUND((IF(ISNUMBER(C35),C35,0)+IF(ISNUMBER(G35),G35,0)+IF(ISNUMBER(H35),H35,0))/MAX(1,ISNUMBER(C35)+ISNUMBER(G35)+ISNUMBER(H35)),1),"")</f>
        <v/>
      </c>
      <c r="K35" s="6"/>
      <c r="L35" s="46"/>
      <c r="M35" s="46"/>
      <c r="N35" s="46"/>
    </row>
    <row r="36" spans="1:14" x14ac:dyDescent="0.35">
      <c r="A36" s="3" t="s">
        <v>282</v>
      </c>
      <c r="B36" s="12"/>
      <c r="C36" s="6"/>
      <c r="D36" s="6"/>
      <c r="E36" s="6"/>
      <c r="F36" s="14" t="str">
        <f>IF(AND(C36&lt;&gt;"",C36&gt;0),E36/C36,"")</f>
        <v/>
      </c>
      <c r="G36" s="6"/>
      <c r="H36" s="6"/>
      <c r="I36" s="6"/>
      <c r="J36" s="7" t="str">
        <f>IF(COUNTA(C36,G36,H36)&gt;0,ROUND((IF(ISNUMBER(C36),C36,0)+IF(ISNUMBER(G36),G36,0)+IF(ISNUMBER(H36),H36,0))/MAX(1,ISNUMBER(C36)+ISNUMBER(G36)+ISNUMBER(H36)),1),"")</f>
        <v/>
      </c>
      <c r="K36" s="6"/>
      <c r="L36" s="46"/>
      <c r="M36" s="46"/>
      <c r="N36" s="46"/>
    </row>
    <row r="37" spans="1:14" x14ac:dyDescent="0.35">
      <c r="A37" s="42" t="s">
        <v>281</v>
      </c>
      <c r="B37" s="42"/>
      <c r="C37" s="42"/>
      <c r="D37" s="42"/>
      <c r="E37" s="42"/>
      <c r="F37" s="42"/>
      <c r="G37" s="42"/>
      <c r="H37" s="42"/>
      <c r="I37" s="42"/>
      <c r="J37" s="42"/>
      <c r="K37" s="42"/>
      <c r="L37" s="42"/>
      <c r="M37" s="42"/>
      <c r="N37" s="42"/>
    </row>
    <row r="38" spans="1:14" x14ac:dyDescent="0.35">
      <c r="A38" s="3" t="s">
        <v>280</v>
      </c>
      <c r="B38" s="12"/>
      <c r="C38" s="6"/>
      <c r="D38" s="6"/>
      <c r="E38" s="6"/>
      <c r="F38" s="14" t="str">
        <f>IF(AND(C38&lt;&gt;"",C38&gt;0),E38/C38,"")</f>
        <v/>
      </c>
      <c r="G38" s="6"/>
      <c r="H38" s="6"/>
      <c r="I38" s="6"/>
      <c r="J38" s="7" t="str">
        <f>IF(COUNTA(C38,G38,H38)&gt;0,ROUND((IF(ISNUMBER(C38),C38,0)+IF(ISNUMBER(G38),G38,0)+IF(ISNUMBER(H38),H38,0))/MAX(1,ISNUMBER(C38)+ISNUMBER(G38)+ISNUMBER(H38)),1),"")</f>
        <v/>
      </c>
      <c r="K38" s="6"/>
      <c r="L38" s="46"/>
      <c r="M38" s="46"/>
      <c r="N38" s="46"/>
    </row>
    <row r="39" spans="1:14" ht="25" x14ac:dyDescent="0.35">
      <c r="A39" s="3" t="s">
        <v>279</v>
      </c>
      <c r="B39" s="12"/>
      <c r="C39" s="6"/>
      <c r="D39" s="6"/>
      <c r="E39" s="6"/>
      <c r="F39" s="14" t="str">
        <f>IF(AND(C39&lt;&gt;"",C39&gt;0),E39/C39,"")</f>
        <v/>
      </c>
      <c r="G39" s="6"/>
      <c r="H39" s="6"/>
      <c r="I39" s="6"/>
      <c r="J39" s="7" t="str">
        <f>IF(COUNTA(C39,G39,H39)&gt;0,ROUND((IF(ISNUMBER(C39),C39,0)+IF(ISNUMBER(G39),G39,0)+IF(ISNUMBER(H39),H39,0))/MAX(1,ISNUMBER(C39)+ISNUMBER(G39)+ISNUMBER(H39)),1),"")</f>
        <v/>
      </c>
      <c r="K39" s="6"/>
      <c r="L39" s="46"/>
      <c r="M39" s="46"/>
      <c r="N39" s="46"/>
    </row>
    <row r="40" spans="1:14" x14ac:dyDescent="0.35">
      <c r="A40" s="3" t="s">
        <v>278</v>
      </c>
      <c r="B40" s="12"/>
      <c r="C40" s="6"/>
      <c r="D40" s="6"/>
      <c r="E40" s="6"/>
      <c r="F40" s="14" t="str">
        <f>IF(AND(C40&lt;&gt;"",C40&gt;0),E40/C40,"")</f>
        <v/>
      </c>
      <c r="G40" s="6"/>
      <c r="H40" s="6"/>
      <c r="I40" s="6"/>
      <c r="J40" s="7" t="str">
        <f>IF(COUNTA(C40,G40,H40)&gt;0,ROUND((IF(ISNUMBER(C40),C40,0)+IF(ISNUMBER(G40),G40,0)+IF(ISNUMBER(H40),H40,0))/MAX(1,ISNUMBER(C40)+ISNUMBER(G40)+ISNUMBER(H40)),1),"")</f>
        <v/>
      </c>
      <c r="K40" s="6"/>
      <c r="L40" s="46"/>
      <c r="M40" s="46"/>
      <c r="N40" s="46"/>
    </row>
    <row r="41" spans="1:14" x14ac:dyDescent="0.35">
      <c r="A41" s="3" t="s">
        <v>277</v>
      </c>
      <c r="B41" s="12"/>
      <c r="C41" s="6"/>
      <c r="D41" s="6"/>
      <c r="E41" s="6"/>
      <c r="F41" s="14" t="str">
        <f>IF(AND(C41&lt;&gt;"",C41&gt;0),E41/C41,"")</f>
        <v/>
      </c>
      <c r="G41" s="6"/>
      <c r="H41" s="6"/>
      <c r="I41" s="6"/>
      <c r="J41" s="7" t="str">
        <f>IF(COUNTA(C41,G41,H41)&gt;0,ROUND((IF(ISNUMBER(C41),C41,0)+IF(ISNUMBER(G41),G41,0)+IF(ISNUMBER(H41),H41,0))/MAX(1,ISNUMBER(C41)+ISNUMBER(G41)+ISNUMBER(H41)),1),"")</f>
        <v/>
      </c>
      <c r="K41" s="6"/>
      <c r="L41" s="46"/>
      <c r="M41" s="46"/>
      <c r="N41" s="46"/>
    </row>
    <row r="42" spans="1:14" x14ac:dyDescent="0.35">
      <c r="A42" s="3" t="s">
        <v>276</v>
      </c>
      <c r="B42" s="12"/>
      <c r="C42" s="6"/>
      <c r="D42" s="6"/>
      <c r="E42" s="6"/>
      <c r="F42" s="14" t="str">
        <f>IF(AND(C42&lt;&gt;"",C42&gt;0),E42/C42,"")</f>
        <v/>
      </c>
      <c r="G42" s="6"/>
      <c r="H42" s="6"/>
      <c r="I42" s="6"/>
      <c r="J42" s="7" t="str">
        <f>IF(COUNTA(C42,G42,H42)&gt;0,ROUND((IF(ISNUMBER(C42),C42,0)+IF(ISNUMBER(G42),G42,0)+IF(ISNUMBER(H42),H42,0))/MAX(1,ISNUMBER(C42)+ISNUMBER(G42)+ISNUMBER(H42)),1),"")</f>
        <v/>
      </c>
      <c r="K42" s="6"/>
      <c r="L42" s="46"/>
      <c r="M42" s="46"/>
      <c r="N42" s="46"/>
    </row>
    <row r="43" spans="1:14" x14ac:dyDescent="0.35">
      <c r="A43" s="42" t="s">
        <v>275</v>
      </c>
      <c r="B43" s="42"/>
      <c r="C43" s="42"/>
      <c r="D43" s="42"/>
      <c r="E43" s="42"/>
      <c r="F43" s="42"/>
      <c r="G43" s="42"/>
      <c r="H43" s="42"/>
      <c r="I43" s="42"/>
      <c r="J43" s="42"/>
      <c r="K43" s="42"/>
      <c r="L43" s="42"/>
      <c r="M43" s="42"/>
      <c r="N43" s="42"/>
    </row>
    <row r="44" spans="1:14" x14ac:dyDescent="0.35">
      <c r="A44" s="3" t="s">
        <v>274</v>
      </c>
      <c r="B44" s="12"/>
      <c r="C44" s="6"/>
      <c r="D44" s="6"/>
      <c r="E44" s="6"/>
      <c r="F44" s="14" t="str">
        <f>IF(AND(C44&lt;&gt;"",C44&gt;0),E44/C44,"")</f>
        <v/>
      </c>
      <c r="G44" s="6"/>
      <c r="H44" s="6"/>
      <c r="I44" s="6"/>
      <c r="J44" s="7" t="str">
        <f>IF(COUNTA(C44,G44,H44)&gt;0,ROUND((IF(ISNUMBER(C44),C44,0)+IF(ISNUMBER(G44),G44,0)+IF(ISNUMBER(H44),H44,0))/MAX(1,ISNUMBER(C44)+ISNUMBER(G44)+ISNUMBER(H44)),1),"")</f>
        <v/>
      </c>
      <c r="K44" s="6"/>
      <c r="L44" s="46"/>
      <c r="M44" s="46"/>
      <c r="N44" s="46"/>
    </row>
    <row r="45" spans="1:14" x14ac:dyDescent="0.35">
      <c r="A45" s="3" t="s">
        <v>273</v>
      </c>
      <c r="B45" s="12"/>
      <c r="C45" s="6"/>
      <c r="D45" s="6"/>
      <c r="E45" s="6"/>
      <c r="F45" s="14" t="str">
        <f>IF(AND(C45&lt;&gt;"",C45&gt;0),E45/C45,"")</f>
        <v/>
      </c>
      <c r="G45" s="6"/>
      <c r="H45" s="6"/>
      <c r="I45" s="6"/>
      <c r="J45" s="7" t="str">
        <f>IF(COUNTA(C45,G45,H45)&gt;0,ROUND((IF(ISNUMBER(C45),C45,0)+IF(ISNUMBER(G45),G45,0)+IF(ISNUMBER(H45),H45,0))/MAX(1,ISNUMBER(C45)+ISNUMBER(G45)+ISNUMBER(H45)),1),"")</f>
        <v/>
      </c>
      <c r="K45" s="6"/>
      <c r="L45" s="46"/>
      <c r="M45" s="46"/>
      <c r="N45" s="46"/>
    </row>
    <row r="46" spans="1:14" x14ac:dyDescent="0.35">
      <c r="A46" s="4" t="s">
        <v>272</v>
      </c>
      <c r="B46" s="17"/>
      <c r="C46" s="2">
        <f>IF(ISNUMBER(C13),C13,0)+IF(ISNUMBER(C14),C14,0)+IF(ISNUMBER(C15),C15,0)+IF(ISNUMBER(C17),C17,0)+IF(ISNUMBER(C18),C18,0)+IF(ISNUMBER(C19),C19,0)+IF(ISNUMBER(C21),C21,0)+IF(ISNUMBER(C22),C22,0)+IF(ISNUMBER(C24),C24,0)+IF(ISNUMBER(C25),C25,0)+IF(ISNUMBER(C26),C26,0)+IF(ISNUMBER(C28),C28,0)+IF(ISNUMBER(C29),C29,0)+IF(ISNUMBER(C30),C30,0)+IF(ISNUMBER(C32),C32,0)+IF(ISNUMBER(C33),C33,0)+IF(ISNUMBER(C35),C35,0)+IF(ISNUMBER(C36),C36,0)+IF(ISNUMBER(C38),C38,0)+IF(ISNUMBER(C39),C39,0)+IF(ISNUMBER(C40),C40,0)+IF(ISNUMBER(C41),C41,0)+IF(ISNUMBER(C42),C42,0)+IF(ISNUMBER(C44),C44,0)+IF(ISNUMBER(C45),C45,0)</f>
        <v>0</v>
      </c>
      <c r="D46" s="2">
        <f>IF(ISNUMBER(D13),D13,0)+IF(ISNUMBER(D14),D14,0)+IF(ISNUMBER(D15),D15,0)+IF(ISNUMBER(D17),D17,0)+IF(ISNUMBER(D18),D18,0)+IF(ISNUMBER(D19),D19,0)+IF(ISNUMBER(D21),D21,0)+IF(ISNUMBER(D22),D22,0)+IF(ISNUMBER(D24),D24,0)+IF(ISNUMBER(D25),D25,0)+IF(ISNUMBER(D26),D26,0)+IF(ISNUMBER(D28),D28,0)+IF(ISNUMBER(D29),D29,0)+IF(ISNUMBER(D30),D30,0)+IF(ISNUMBER(D32),D32,0)+IF(ISNUMBER(D33),D33,0)+IF(ISNUMBER(D35),D35,0)+IF(ISNUMBER(D36),D36,0)+IF(ISNUMBER(D38),D38,0)+IF(ISNUMBER(D39),D39,0)+IF(ISNUMBER(D40),D40,0)+IF(ISNUMBER(D41),D41,0)+IF(ISNUMBER(D42),D42,0)+IF(ISNUMBER(D44),D44,0)+IF(ISNUMBER(D45),D45,0)</f>
        <v>0</v>
      </c>
      <c r="E46" s="2">
        <f>IF(ISNUMBER(E13),E13,0)+IF(ISNUMBER(E14),E14,0)+IF(ISNUMBER(E15),E15,0)+IF(ISNUMBER(E17),E17,0)+IF(ISNUMBER(E18),E18,0)+IF(ISNUMBER(E19),E19,0)+IF(ISNUMBER(E21),E21,0)+IF(ISNUMBER(E22),E22,0)+IF(ISNUMBER(E24),E24,0)+IF(ISNUMBER(E25),E25,0)+IF(ISNUMBER(E26),E26,0)+IF(ISNUMBER(E28),E28,0)+IF(ISNUMBER(E29),E29,0)+IF(ISNUMBER(E30),E30,0)+IF(ISNUMBER(E32),E32,0)+IF(ISNUMBER(E33),E33,0)+IF(ISNUMBER(E35),E35,0)+IF(ISNUMBER(E36),E36,0)+IF(ISNUMBER(E38),E38,0)+IF(ISNUMBER(E39),E39,0)+IF(ISNUMBER(E40),E40,0)+IF(ISNUMBER(E41),E41,0)+IF(ISNUMBER(E42),E42,0)+IF(ISNUMBER(E44),E44,0)+IF(ISNUMBER(E45),E45,0)</f>
        <v>0</v>
      </c>
      <c r="F46" s="17"/>
      <c r="G46" s="2">
        <f>IF(ISNUMBER(G13),G13,0)+IF(ISNUMBER(G14),G14,0)+IF(ISNUMBER(G15),G15,0)+IF(ISNUMBER(G17),G17,0)+IF(ISNUMBER(G18),G18,0)+IF(ISNUMBER(G19),G19,0)+IF(ISNUMBER(G21),G21,0)+IF(ISNUMBER(G22),G22,0)+IF(ISNUMBER(G24),G24,0)+IF(ISNUMBER(G25),G25,0)+IF(ISNUMBER(G26),G26,0)+IF(ISNUMBER(G28),G28,0)+IF(ISNUMBER(G29),G29,0)+IF(ISNUMBER(G30),G30,0)+IF(ISNUMBER(G32),G32,0)+IF(ISNUMBER(G33),G33,0)+IF(ISNUMBER(G35),G35,0)+IF(ISNUMBER(G36),G36,0)+IF(ISNUMBER(G38),G38,0)+IF(ISNUMBER(G39),G39,0)+IF(ISNUMBER(G40),G40,0)+IF(ISNUMBER(G41),G41,0)+IF(ISNUMBER(G42),G42,0)+IF(ISNUMBER(G44),G44,0)+IF(ISNUMBER(G45),G45,0)</f>
        <v>0</v>
      </c>
      <c r="H46" s="2">
        <f>IF(ISNUMBER(H13),H13,0)+IF(ISNUMBER(H14),H14,0)+IF(ISNUMBER(H15),H15,0)+IF(ISNUMBER(H17),H17,0)+IF(ISNUMBER(H18),H18,0)+IF(ISNUMBER(H19),H19,0)+IF(ISNUMBER(H21),H21,0)+IF(ISNUMBER(H22),H22,0)+IF(ISNUMBER(H24),H24,0)+IF(ISNUMBER(H25),H25,0)+IF(ISNUMBER(H26),H26,0)+IF(ISNUMBER(H28),H28,0)+IF(ISNUMBER(H29),H29,0)+IF(ISNUMBER(H30),H30,0)+IF(ISNUMBER(H32),H32,0)+IF(ISNUMBER(H33),H33,0)+IF(ISNUMBER(H35),H35,0)+IF(ISNUMBER(H36),H36,0)+IF(ISNUMBER(H38),H38,0)+IF(ISNUMBER(H39),H39,0)+IF(ISNUMBER(H40),H40,0)+IF(ISNUMBER(H41),H41,0)+IF(ISNUMBER(H42),H42,0)+IF(ISNUMBER(H44),H44,0)+IF(ISNUMBER(H45),H45,0)</f>
        <v>0</v>
      </c>
      <c r="I46" s="2">
        <f>IF(ISNUMBER(I13),I13,0)+IF(ISNUMBER(I14),I14,0)+IF(ISNUMBER(I15),I15,0)+IF(ISNUMBER(I17),I17,0)+IF(ISNUMBER(I18),I18,0)+IF(ISNUMBER(I19),I19,0)+IF(ISNUMBER(I21),I21,0)+IF(ISNUMBER(I22),I22,0)+IF(ISNUMBER(I24),I24,0)+IF(ISNUMBER(I25),I25,0)+IF(ISNUMBER(I26),I26,0)+IF(ISNUMBER(I28),I28,0)+IF(ISNUMBER(I29),I29,0)+IF(ISNUMBER(I30),I30,0)+IF(ISNUMBER(I32),I32,0)+IF(ISNUMBER(I33),I33,0)+IF(ISNUMBER(I35),I35,0)+IF(ISNUMBER(I36),I36,0)+IF(ISNUMBER(I38),I38,0)+IF(ISNUMBER(I39),I39,0)+IF(ISNUMBER(I40),I40,0)+IF(ISNUMBER(I41),I41,0)+IF(ISNUMBER(I42),I42,0)+IF(ISNUMBER(I44),I44,0)+IF(ISNUMBER(I45),I45,0)</f>
        <v>0</v>
      </c>
      <c r="J46" s="17"/>
      <c r="K46" s="17"/>
      <c r="L46" s="17"/>
      <c r="M46" s="17"/>
      <c r="N46" s="17"/>
    </row>
    <row r="48" spans="1:14" x14ac:dyDescent="0.35">
      <c r="A48" s="47" t="s">
        <v>271</v>
      </c>
      <c r="B48" s="47"/>
      <c r="C48" s="47"/>
      <c r="D48" s="47"/>
      <c r="E48" s="47"/>
      <c r="F48" s="47"/>
      <c r="G48" s="47"/>
      <c r="H48" s="47"/>
      <c r="I48" s="47"/>
      <c r="J48" s="47"/>
      <c r="K48" s="47"/>
      <c r="L48" s="47"/>
      <c r="M48" s="47"/>
      <c r="N48" s="47"/>
    </row>
    <row r="49" spans="1:14" x14ac:dyDescent="0.35">
      <c r="A49" s="44" t="s">
        <v>270</v>
      </c>
      <c r="B49" s="44"/>
      <c r="C49" s="44"/>
      <c r="D49" s="44"/>
      <c r="E49" s="44"/>
      <c r="F49" s="44"/>
      <c r="G49" s="44"/>
      <c r="H49" s="44"/>
      <c r="I49" s="44"/>
      <c r="J49" s="44"/>
      <c r="K49" s="44"/>
      <c r="L49" s="44"/>
      <c r="M49" s="44"/>
      <c r="N49" s="44"/>
    </row>
    <row r="50" spans="1:14" ht="23" x14ac:dyDescent="0.35">
      <c r="A50" s="16" t="s">
        <v>269</v>
      </c>
      <c r="B50" s="16" t="s">
        <v>268</v>
      </c>
      <c r="C50" s="16" t="s">
        <v>267</v>
      </c>
      <c r="D50" s="16" t="s">
        <v>266</v>
      </c>
      <c r="E50" s="16" t="s">
        <v>265</v>
      </c>
      <c r="F50" s="16" t="s">
        <v>264</v>
      </c>
      <c r="G50" s="16" t="s">
        <v>263</v>
      </c>
      <c r="H50" s="16" t="s">
        <v>262</v>
      </c>
      <c r="I50" s="16" t="s">
        <v>261</v>
      </c>
      <c r="J50" s="16" t="s">
        <v>260</v>
      </c>
      <c r="K50" s="16" t="s">
        <v>235</v>
      </c>
    </row>
    <row r="51" spans="1:14" x14ac:dyDescent="0.35">
      <c r="A51" s="15" t="s">
        <v>259</v>
      </c>
      <c r="B51" s="12"/>
      <c r="C51" s="6"/>
      <c r="D51" s="6"/>
      <c r="E51" s="6"/>
      <c r="F51" s="6"/>
      <c r="G51" s="7" t="str">
        <f t="shared" ref="G51:G64" si="0">IF(COUNTA(C51:F51)&gt;0,SUM(C51:F51),"")</f>
        <v/>
      </c>
      <c r="H51" s="6"/>
      <c r="I51" s="14" t="str">
        <f t="shared" ref="I51:I64" si="1">IF(AND(G51&lt;&gt;"",H51&lt;&gt;"",H51&gt;0),G51/H51,"")</f>
        <v/>
      </c>
      <c r="J51" s="6"/>
      <c r="K51" s="46"/>
      <c r="L51" s="46"/>
      <c r="M51" s="46"/>
      <c r="N51" s="46"/>
    </row>
    <row r="52" spans="1:14" x14ac:dyDescent="0.35">
      <c r="A52" s="15" t="s">
        <v>258</v>
      </c>
      <c r="B52" s="12"/>
      <c r="C52" s="6"/>
      <c r="D52" s="6"/>
      <c r="E52" s="6"/>
      <c r="F52" s="6"/>
      <c r="G52" s="7" t="str">
        <f t="shared" si="0"/>
        <v/>
      </c>
      <c r="H52" s="6"/>
      <c r="I52" s="14" t="str">
        <f t="shared" si="1"/>
        <v/>
      </c>
      <c r="J52" s="6"/>
      <c r="K52" s="46"/>
      <c r="L52" s="46"/>
      <c r="M52" s="46"/>
      <c r="N52" s="46"/>
    </row>
    <row r="53" spans="1:14" x14ac:dyDescent="0.35">
      <c r="A53" s="15" t="s">
        <v>257</v>
      </c>
      <c r="B53" s="12"/>
      <c r="C53" s="6"/>
      <c r="D53" s="6"/>
      <c r="E53" s="6"/>
      <c r="F53" s="6"/>
      <c r="G53" s="7" t="str">
        <f t="shared" si="0"/>
        <v/>
      </c>
      <c r="H53" s="6"/>
      <c r="I53" s="14" t="str">
        <f t="shared" si="1"/>
        <v/>
      </c>
      <c r="J53" s="6"/>
      <c r="K53" s="46"/>
      <c r="L53" s="46"/>
      <c r="M53" s="46"/>
      <c r="N53" s="46"/>
    </row>
    <row r="54" spans="1:14" x14ac:dyDescent="0.35">
      <c r="A54" s="15" t="s">
        <v>256</v>
      </c>
      <c r="B54" s="12"/>
      <c r="C54" s="6"/>
      <c r="D54" s="6"/>
      <c r="E54" s="6"/>
      <c r="F54" s="6"/>
      <c r="G54" s="7" t="str">
        <f t="shared" si="0"/>
        <v/>
      </c>
      <c r="H54" s="6"/>
      <c r="I54" s="14" t="str">
        <f t="shared" si="1"/>
        <v/>
      </c>
      <c r="J54" s="6"/>
      <c r="K54" s="46"/>
      <c r="L54" s="46"/>
      <c r="M54" s="46"/>
      <c r="N54" s="46"/>
    </row>
    <row r="55" spans="1:14" x14ac:dyDescent="0.35">
      <c r="A55" s="15" t="s">
        <v>255</v>
      </c>
      <c r="B55" s="12"/>
      <c r="C55" s="6"/>
      <c r="D55" s="6"/>
      <c r="E55" s="6"/>
      <c r="F55" s="6"/>
      <c r="G55" s="7" t="str">
        <f t="shared" si="0"/>
        <v/>
      </c>
      <c r="H55" s="6"/>
      <c r="I55" s="14" t="str">
        <f t="shared" si="1"/>
        <v/>
      </c>
      <c r="J55" s="6"/>
      <c r="K55" s="46"/>
      <c r="L55" s="46"/>
      <c r="M55" s="46"/>
      <c r="N55" s="46"/>
    </row>
    <row r="56" spans="1:14" x14ac:dyDescent="0.35">
      <c r="A56" s="15" t="s">
        <v>254</v>
      </c>
      <c r="B56" s="12"/>
      <c r="C56" s="6"/>
      <c r="D56" s="6"/>
      <c r="E56" s="6"/>
      <c r="F56" s="6"/>
      <c r="G56" s="7" t="str">
        <f t="shared" si="0"/>
        <v/>
      </c>
      <c r="H56" s="6"/>
      <c r="I56" s="14" t="str">
        <f t="shared" si="1"/>
        <v/>
      </c>
      <c r="J56" s="6"/>
      <c r="K56" s="46"/>
      <c r="L56" s="46"/>
      <c r="M56" s="46"/>
      <c r="N56" s="46"/>
    </row>
    <row r="57" spans="1:14" x14ac:dyDescent="0.35">
      <c r="A57" s="15" t="s">
        <v>253</v>
      </c>
      <c r="B57" s="12"/>
      <c r="C57" s="6"/>
      <c r="D57" s="6"/>
      <c r="E57" s="6"/>
      <c r="F57" s="6"/>
      <c r="G57" s="7" t="str">
        <f t="shared" si="0"/>
        <v/>
      </c>
      <c r="H57" s="6"/>
      <c r="I57" s="14" t="str">
        <f t="shared" si="1"/>
        <v/>
      </c>
      <c r="J57" s="6"/>
      <c r="K57" s="46"/>
      <c r="L57" s="46"/>
      <c r="M57" s="46"/>
      <c r="N57" s="46"/>
    </row>
    <row r="58" spans="1:14" x14ac:dyDescent="0.35">
      <c r="A58" s="15" t="s">
        <v>252</v>
      </c>
      <c r="B58" s="12"/>
      <c r="C58" s="6"/>
      <c r="D58" s="6"/>
      <c r="E58" s="6"/>
      <c r="F58" s="6"/>
      <c r="G58" s="7" t="str">
        <f t="shared" si="0"/>
        <v/>
      </c>
      <c r="H58" s="6"/>
      <c r="I58" s="14" t="str">
        <f t="shared" si="1"/>
        <v/>
      </c>
      <c r="J58" s="6"/>
      <c r="K58" s="46"/>
      <c r="L58" s="46"/>
      <c r="M58" s="46"/>
      <c r="N58" s="46"/>
    </row>
    <row r="59" spans="1:14" x14ac:dyDescent="0.35">
      <c r="A59" s="15" t="s">
        <v>164</v>
      </c>
      <c r="B59" s="12"/>
      <c r="C59" s="6"/>
      <c r="D59" s="6"/>
      <c r="E59" s="6"/>
      <c r="F59" s="6"/>
      <c r="G59" s="7" t="str">
        <f t="shared" si="0"/>
        <v/>
      </c>
      <c r="H59" s="6"/>
      <c r="I59" s="14" t="str">
        <f t="shared" si="1"/>
        <v/>
      </c>
      <c r="J59" s="6"/>
      <c r="K59" s="46"/>
      <c r="L59" s="46"/>
      <c r="M59" s="46"/>
      <c r="N59" s="46"/>
    </row>
    <row r="60" spans="1:14" x14ac:dyDescent="0.35">
      <c r="A60" s="15" t="s">
        <v>251</v>
      </c>
      <c r="B60" s="12"/>
      <c r="C60" s="6"/>
      <c r="D60" s="6"/>
      <c r="E60" s="6"/>
      <c r="F60" s="6"/>
      <c r="G60" s="7" t="str">
        <f t="shared" si="0"/>
        <v/>
      </c>
      <c r="H60" s="6"/>
      <c r="I60" s="14" t="str">
        <f t="shared" si="1"/>
        <v/>
      </c>
      <c r="J60" s="6"/>
      <c r="K60" s="46"/>
      <c r="L60" s="46"/>
      <c r="M60" s="46"/>
      <c r="N60" s="46"/>
    </row>
    <row r="61" spans="1:14" x14ac:dyDescent="0.35">
      <c r="A61" s="15" t="s">
        <v>250</v>
      </c>
      <c r="B61" s="12"/>
      <c r="C61" s="6"/>
      <c r="D61" s="6"/>
      <c r="E61" s="6"/>
      <c r="F61" s="6"/>
      <c r="G61" s="7" t="str">
        <f t="shared" si="0"/>
        <v/>
      </c>
      <c r="H61" s="6"/>
      <c r="I61" s="14" t="str">
        <f t="shared" si="1"/>
        <v/>
      </c>
      <c r="J61" s="6"/>
      <c r="K61" s="46"/>
      <c r="L61" s="46"/>
      <c r="M61" s="46"/>
      <c r="N61" s="46"/>
    </row>
    <row r="62" spans="1:14" x14ac:dyDescent="0.35">
      <c r="A62" s="15" t="s">
        <v>249</v>
      </c>
      <c r="B62" s="12"/>
      <c r="C62" s="6"/>
      <c r="D62" s="6"/>
      <c r="E62" s="6"/>
      <c r="F62" s="6"/>
      <c r="G62" s="7" t="str">
        <f t="shared" si="0"/>
        <v/>
      </c>
      <c r="H62" s="6"/>
      <c r="I62" s="14" t="str">
        <f t="shared" si="1"/>
        <v/>
      </c>
      <c r="J62" s="6"/>
      <c r="K62" s="46"/>
      <c r="L62" s="46"/>
      <c r="M62" s="46"/>
      <c r="N62" s="46"/>
    </row>
    <row r="63" spans="1:14" x14ac:dyDescent="0.35">
      <c r="A63" s="15" t="s">
        <v>248</v>
      </c>
      <c r="B63" s="12"/>
      <c r="C63" s="6"/>
      <c r="D63" s="6"/>
      <c r="E63" s="6"/>
      <c r="F63" s="6"/>
      <c r="G63" s="7" t="str">
        <f t="shared" si="0"/>
        <v/>
      </c>
      <c r="H63" s="6"/>
      <c r="I63" s="14" t="str">
        <f t="shared" si="1"/>
        <v/>
      </c>
      <c r="J63" s="6"/>
      <c r="K63" s="46"/>
      <c r="L63" s="46"/>
      <c r="M63" s="46"/>
      <c r="N63" s="46"/>
    </row>
    <row r="64" spans="1:14" x14ac:dyDescent="0.35">
      <c r="A64" s="15" t="s">
        <v>247</v>
      </c>
      <c r="B64" s="12"/>
      <c r="C64" s="6"/>
      <c r="D64" s="6"/>
      <c r="E64" s="6"/>
      <c r="F64" s="6"/>
      <c r="G64" s="7" t="str">
        <f t="shared" si="0"/>
        <v/>
      </c>
      <c r="H64" s="6"/>
      <c r="I64" s="14" t="str">
        <f t="shared" si="1"/>
        <v/>
      </c>
      <c r="J64" s="6"/>
      <c r="K64" s="46"/>
      <c r="L64" s="46"/>
      <c r="M64" s="46"/>
      <c r="N64" s="46"/>
    </row>
    <row r="66" spans="1:14" x14ac:dyDescent="0.35">
      <c r="A66" s="47" t="s">
        <v>246</v>
      </c>
      <c r="B66" s="47"/>
      <c r="C66" s="47"/>
      <c r="D66" s="47"/>
      <c r="E66" s="47"/>
      <c r="F66" s="47"/>
      <c r="G66" s="47"/>
      <c r="H66" s="47"/>
      <c r="I66" s="47"/>
      <c r="J66" s="47"/>
      <c r="K66" s="47"/>
      <c r="L66" s="47"/>
      <c r="M66" s="47"/>
      <c r="N66" s="47"/>
    </row>
    <row r="67" spans="1:14" x14ac:dyDescent="0.35">
      <c r="A67" s="44" t="s">
        <v>245</v>
      </c>
      <c r="B67" s="44"/>
      <c r="C67" s="44"/>
      <c r="D67" s="44"/>
      <c r="E67" s="44"/>
      <c r="F67" s="44"/>
      <c r="G67" s="44"/>
      <c r="H67" s="44"/>
      <c r="I67" s="44"/>
      <c r="J67" s="44"/>
      <c r="K67" s="44"/>
      <c r="L67" s="44"/>
      <c r="M67" s="44"/>
      <c r="N67" s="44"/>
    </row>
    <row r="68" spans="1:14" ht="46" x14ac:dyDescent="0.35">
      <c r="A68" s="13" t="s">
        <v>244</v>
      </c>
      <c r="B68" s="13" t="s">
        <v>243</v>
      </c>
      <c r="C68" s="13" t="s">
        <v>242</v>
      </c>
      <c r="D68" s="13" t="s">
        <v>241</v>
      </c>
      <c r="E68" s="13" t="s">
        <v>240</v>
      </c>
      <c r="F68" s="13" t="s">
        <v>239</v>
      </c>
      <c r="G68" s="13" t="s">
        <v>238</v>
      </c>
      <c r="H68" s="13" t="s">
        <v>237</v>
      </c>
      <c r="I68" s="13" t="s">
        <v>236</v>
      </c>
      <c r="J68" s="13" t="s">
        <v>235</v>
      </c>
    </row>
    <row r="69" spans="1:14" x14ac:dyDescent="0.35">
      <c r="A69" s="12"/>
      <c r="B69" s="12"/>
      <c r="C69" s="12"/>
      <c r="D69" s="12"/>
      <c r="E69" s="12"/>
      <c r="F69" s="12"/>
      <c r="G69" s="12"/>
      <c r="H69" s="12"/>
      <c r="I69" s="12"/>
      <c r="J69" s="12"/>
    </row>
    <row r="70" spans="1:14" x14ac:dyDescent="0.35">
      <c r="A70" s="12"/>
      <c r="B70" s="12"/>
      <c r="C70" s="12"/>
      <c r="D70" s="12"/>
      <c r="E70" s="12"/>
      <c r="F70" s="12"/>
      <c r="G70" s="12"/>
      <c r="H70" s="12"/>
      <c r="I70" s="12"/>
      <c r="J70" s="12"/>
    </row>
    <row r="71" spans="1:14" x14ac:dyDescent="0.35">
      <c r="A71" s="12"/>
      <c r="B71" s="12"/>
      <c r="C71" s="12"/>
      <c r="D71" s="12"/>
      <c r="E71" s="12"/>
      <c r="F71" s="12"/>
      <c r="G71" s="12"/>
      <c r="H71" s="12"/>
      <c r="I71" s="12"/>
      <c r="J71" s="12"/>
    </row>
    <row r="72" spans="1:14" x14ac:dyDescent="0.35">
      <c r="A72" s="12"/>
      <c r="B72" s="12"/>
      <c r="C72" s="12"/>
      <c r="D72" s="12"/>
      <c r="E72" s="12"/>
      <c r="F72" s="12"/>
      <c r="G72" s="12"/>
      <c r="H72" s="12"/>
      <c r="I72" s="12"/>
      <c r="J72" s="12"/>
    </row>
    <row r="73" spans="1:14" x14ac:dyDescent="0.35">
      <c r="A73" s="12"/>
      <c r="B73" s="12"/>
      <c r="C73" s="12"/>
      <c r="D73" s="12"/>
      <c r="E73" s="12"/>
      <c r="F73" s="12"/>
      <c r="G73" s="12"/>
      <c r="H73" s="12"/>
      <c r="I73" s="12"/>
      <c r="J73" s="12"/>
    </row>
    <row r="74" spans="1:14" x14ac:dyDescent="0.35">
      <c r="A74" s="12"/>
      <c r="B74" s="12"/>
      <c r="C74" s="12"/>
      <c r="D74" s="12"/>
      <c r="E74" s="12"/>
      <c r="F74" s="12"/>
      <c r="G74" s="12"/>
      <c r="H74" s="12"/>
      <c r="I74" s="12"/>
      <c r="J74" s="12"/>
    </row>
    <row r="75" spans="1:14" x14ac:dyDescent="0.35">
      <c r="A75" s="12"/>
      <c r="B75" s="12"/>
      <c r="C75" s="12"/>
      <c r="D75" s="12"/>
      <c r="E75" s="12"/>
      <c r="F75" s="12"/>
      <c r="G75" s="12"/>
      <c r="H75" s="12"/>
      <c r="I75" s="12"/>
      <c r="J75" s="12"/>
    </row>
    <row r="76" spans="1:14" x14ac:dyDescent="0.35">
      <c r="A76" s="12"/>
      <c r="B76" s="12"/>
      <c r="C76" s="12"/>
      <c r="D76" s="12"/>
      <c r="E76" s="12"/>
      <c r="F76" s="12"/>
      <c r="G76" s="12"/>
      <c r="H76" s="12"/>
      <c r="I76" s="12"/>
      <c r="J76" s="12"/>
    </row>
    <row r="77" spans="1:14" x14ac:dyDescent="0.35">
      <c r="A77" s="12"/>
      <c r="B77" s="12"/>
      <c r="C77" s="12"/>
      <c r="D77" s="12"/>
      <c r="E77" s="12"/>
      <c r="F77" s="12"/>
      <c r="G77" s="12"/>
      <c r="H77" s="12"/>
      <c r="I77" s="12"/>
      <c r="J77" s="12"/>
    </row>
    <row r="78" spans="1:14" x14ac:dyDescent="0.35">
      <c r="A78" s="12"/>
      <c r="B78" s="12"/>
      <c r="C78" s="12"/>
      <c r="D78" s="12"/>
      <c r="E78" s="12"/>
      <c r="F78" s="12"/>
      <c r="G78" s="12"/>
      <c r="H78" s="12"/>
      <c r="I78" s="12"/>
      <c r="J78" s="12"/>
    </row>
    <row r="79" spans="1:14" x14ac:dyDescent="0.35">
      <c r="A79" s="12"/>
      <c r="B79" s="12"/>
      <c r="C79" s="12"/>
      <c r="D79" s="12"/>
      <c r="E79" s="12"/>
      <c r="F79" s="12"/>
      <c r="G79" s="12"/>
      <c r="H79" s="12"/>
      <c r="I79" s="12"/>
      <c r="J79" s="12"/>
    </row>
    <row r="80" spans="1:14" x14ac:dyDescent="0.35">
      <c r="A80" s="12"/>
      <c r="B80" s="12"/>
      <c r="C80" s="12"/>
      <c r="D80" s="12"/>
      <c r="E80" s="12"/>
      <c r="F80" s="12"/>
      <c r="G80" s="12"/>
      <c r="H80" s="12"/>
      <c r="I80" s="12"/>
      <c r="J80" s="12"/>
    </row>
    <row r="81" spans="1:10" x14ac:dyDescent="0.35">
      <c r="A81" s="12"/>
      <c r="B81" s="12"/>
      <c r="C81" s="12"/>
      <c r="D81" s="12"/>
      <c r="E81" s="12"/>
      <c r="F81" s="12"/>
      <c r="G81" s="12"/>
      <c r="H81" s="12"/>
      <c r="I81" s="12"/>
      <c r="J81" s="12"/>
    </row>
    <row r="82" spans="1:10" x14ac:dyDescent="0.35">
      <c r="A82" s="12"/>
      <c r="B82" s="12"/>
      <c r="C82" s="12"/>
      <c r="D82" s="12"/>
      <c r="E82" s="12"/>
      <c r="F82" s="12"/>
      <c r="G82" s="12"/>
      <c r="H82" s="12"/>
      <c r="I82" s="12"/>
      <c r="J82" s="12"/>
    </row>
    <row r="83" spans="1:10" x14ac:dyDescent="0.35">
      <c r="A83" s="12"/>
      <c r="B83" s="12"/>
      <c r="C83" s="12"/>
      <c r="D83" s="12"/>
      <c r="E83" s="12"/>
      <c r="F83" s="12"/>
      <c r="G83" s="12"/>
      <c r="H83" s="12"/>
      <c r="I83" s="12"/>
      <c r="J83" s="12"/>
    </row>
    <row r="84" spans="1:10" x14ac:dyDescent="0.35">
      <c r="A84" s="12"/>
      <c r="B84" s="12"/>
      <c r="C84" s="12"/>
      <c r="D84" s="12"/>
      <c r="E84" s="12"/>
      <c r="F84" s="12"/>
      <c r="G84" s="12"/>
      <c r="H84" s="12"/>
      <c r="I84" s="12"/>
      <c r="J84" s="12"/>
    </row>
    <row r="85" spans="1:10" x14ac:dyDescent="0.35">
      <c r="A85" s="12"/>
      <c r="B85" s="12"/>
      <c r="C85" s="12"/>
      <c r="D85" s="12"/>
      <c r="E85" s="12"/>
      <c r="F85" s="12"/>
      <c r="G85" s="12"/>
      <c r="H85" s="12"/>
      <c r="I85" s="12"/>
      <c r="J85" s="12"/>
    </row>
    <row r="86" spans="1:10" x14ac:dyDescent="0.35">
      <c r="A86" s="12"/>
      <c r="B86" s="12"/>
      <c r="C86" s="12"/>
      <c r="D86" s="12"/>
      <c r="E86" s="12"/>
      <c r="F86" s="12"/>
      <c r="G86" s="12"/>
      <c r="H86" s="12"/>
      <c r="I86" s="12"/>
      <c r="J86" s="12"/>
    </row>
    <row r="87" spans="1:10" x14ac:dyDescent="0.35">
      <c r="A87" s="12"/>
      <c r="B87" s="12"/>
      <c r="C87" s="12"/>
      <c r="D87" s="12"/>
      <c r="E87" s="12"/>
      <c r="F87" s="12"/>
      <c r="G87" s="12"/>
      <c r="H87" s="12"/>
      <c r="I87" s="12"/>
      <c r="J87" s="12"/>
    </row>
    <row r="88" spans="1:10" x14ac:dyDescent="0.35">
      <c r="A88" s="12"/>
      <c r="B88" s="12"/>
      <c r="C88" s="12"/>
      <c r="D88" s="12"/>
      <c r="E88" s="12"/>
      <c r="F88" s="12"/>
      <c r="G88" s="12"/>
      <c r="H88" s="12"/>
      <c r="I88" s="12"/>
      <c r="J88" s="12"/>
    </row>
    <row r="89" spans="1:10" x14ac:dyDescent="0.35">
      <c r="A89" s="12"/>
      <c r="B89" s="12"/>
      <c r="C89" s="12"/>
      <c r="D89" s="12"/>
      <c r="E89" s="12"/>
      <c r="F89" s="12"/>
      <c r="G89" s="12"/>
      <c r="H89" s="12"/>
      <c r="I89" s="12"/>
      <c r="J89" s="12"/>
    </row>
    <row r="90" spans="1:10" x14ac:dyDescent="0.35">
      <c r="A90" s="12"/>
      <c r="B90" s="12"/>
      <c r="C90" s="12"/>
      <c r="D90" s="12"/>
      <c r="E90" s="12"/>
      <c r="F90" s="12"/>
      <c r="G90" s="12"/>
      <c r="H90" s="12"/>
      <c r="I90" s="12"/>
      <c r="J90" s="12"/>
    </row>
    <row r="91" spans="1:10" x14ac:dyDescent="0.35">
      <c r="A91" s="12"/>
      <c r="B91" s="12"/>
      <c r="C91" s="12"/>
      <c r="D91" s="12"/>
      <c r="E91" s="12"/>
      <c r="F91" s="12"/>
      <c r="G91" s="12"/>
      <c r="H91" s="12"/>
      <c r="I91" s="12"/>
      <c r="J91" s="12"/>
    </row>
    <row r="92" spans="1:10" x14ac:dyDescent="0.35">
      <c r="A92" s="12"/>
      <c r="B92" s="12"/>
      <c r="C92" s="12"/>
      <c r="D92" s="12"/>
      <c r="E92" s="12"/>
      <c r="F92" s="12"/>
      <c r="G92" s="12"/>
      <c r="H92" s="12"/>
      <c r="I92" s="12"/>
      <c r="J92" s="12"/>
    </row>
    <row r="93" spans="1:10" x14ac:dyDescent="0.35">
      <c r="A93" s="12"/>
      <c r="B93" s="12"/>
      <c r="C93" s="12"/>
      <c r="D93" s="12"/>
      <c r="E93" s="12"/>
      <c r="F93" s="12"/>
      <c r="G93" s="12"/>
      <c r="H93" s="12"/>
      <c r="I93" s="12"/>
      <c r="J93" s="12"/>
    </row>
  </sheetData>
  <mergeCells count="65">
    <mergeCell ref="A66:N66"/>
    <mergeCell ref="A67:N67"/>
    <mergeCell ref="K60:N60"/>
    <mergeCell ref="K61:N61"/>
    <mergeCell ref="K62:N62"/>
    <mergeCell ref="K63:N63"/>
    <mergeCell ref="K64:N64"/>
    <mergeCell ref="A49:N49"/>
    <mergeCell ref="K51:N51"/>
    <mergeCell ref="K52:N52"/>
    <mergeCell ref="K53:N53"/>
    <mergeCell ref="K54:N54"/>
    <mergeCell ref="K55:N55"/>
    <mergeCell ref="K56:N56"/>
    <mergeCell ref="K57:N57"/>
    <mergeCell ref="K58:N58"/>
    <mergeCell ref="K59:N59"/>
    <mergeCell ref="A37:N37"/>
    <mergeCell ref="L38:N38"/>
    <mergeCell ref="L39:N39"/>
    <mergeCell ref="L40:N40"/>
    <mergeCell ref="L41:N41"/>
    <mergeCell ref="L42:N42"/>
    <mergeCell ref="A43:N43"/>
    <mergeCell ref="L44:N44"/>
    <mergeCell ref="L45:N45"/>
    <mergeCell ref="A48:N48"/>
    <mergeCell ref="A27:N27"/>
    <mergeCell ref="L28:N28"/>
    <mergeCell ref="L29:N29"/>
    <mergeCell ref="L30:N30"/>
    <mergeCell ref="A31:N31"/>
    <mergeCell ref="L32:N32"/>
    <mergeCell ref="L33:N33"/>
    <mergeCell ref="A34:N34"/>
    <mergeCell ref="L35:N35"/>
    <mergeCell ref="L36:N36"/>
    <mergeCell ref="L17:N17"/>
    <mergeCell ref="L18:N18"/>
    <mergeCell ref="L19:N19"/>
    <mergeCell ref="A20:N20"/>
    <mergeCell ref="L21:N21"/>
    <mergeCell ref="L22:N22"/>
    <mergeCell ref="A23:N23"/>
    <mergeCell ref="L24:N24"/>
    <mergeCell ref="L25:N25"/>
    <mergeCell ref="L26:N26"/>
    <mergeCell ref="O6:P6"/>
    <mergeCell ref="A7:N7"/>
    <mergeCell ref="A8:N8"/>
    <mergeCell ref="A9:N9"/>
    <mergeCell ref="A10:N10"/>
    <mergeCell ref="A12:N12"/>
    <mergeCell ref="L13:N13"/>
    <mergeCell ref="L14:N14"/>
    <mergeCell ref="L15:N15"/>
    <mergeCell ref="A16:N16"/>
    <mergeCell ref="A1:N1"/>
    <mergeCell ref="A2:N2"/>
    <mergeCell ref="A3:N3"/>
    <mergeCell ref="A4:N4"/>
    <mergeCell ref="A6:B6"/>
    <mergeCell ref="D6:E6"/>
    <mergeCell ref="G6:I6"/>
    <mergeCell ref="K6:M6"/>
  </mergeCells>
  <dataValidations count="1">
    <dataValidation type="list" allowBlank="1" sqref="K13:K15 K17:K19 K21:K22 K24:K26 K28:K30 K32:K33 K35:K36 K38:K42 K44:K45" xr:uid="{00000000-0002-0000-0200-000000000000}">
      <formula1>"Accredited,Provisional,Not Accredited,Unknown"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ED3A-1BA8-4C90-963E-254EE6AEE02F}">
  <dimension ref="A1:P48"/>
  <sheetViews>
    <sheetView showGridLines="0" zoomScaleNormal="100" workbookViewId="0">
      <pane xSplit="1" ySplit="13" topLeftCell="B14" activePane="bottomRight" state="frozen"/>
      <selection activeCell="B10" sqref="B10:B11"/>
      <selection pane="topRight" activeCell="B10" sqref="B10:B11"/>
      <selection pane="bottomLeft" activeCell="B10" sqref="B10:B11"/>
      <selection pane="bottomRight" activeCell="A14" sqref="A14"/>
    </sheetView>
  </sheetViews>
  <sheetFormatPr defaultColWidth="8.6328125" defaultRowHeight="14.5" x14ac:dyDescent="0.35"/>
  <cols>
    <col min="1" max="1" width="38" style="1" customWidth="1"/>
    <col min="2" max="6" width="14" style="1" customWidth="1"/>
    <col min="7" max="9" width="16" style="1" customWidth="1"/>
    <col min="10" max="12" width="14" style="1" customWidth="1"/>
    <col min="13" max="15" width="16" style="1" customWidth="1"/>
    <col min="16" max="16" width="18" style="1" customWidth="1"/>
    <col min="17" max="16384" width="8.6328125" style="1"/>
  </cols>
  <sheetData>
    <row r="1" spans="1:16" ht="20" x14ac:dyDescent="0.35">
      <c r="A1" s="39" t="s">
        <v>379</v>
      </c>
      <c r="B1" s="39"/>
      <c r="C1" s="39"/>
      <c r="D1" s="39"/>
      <c r="E1" s="39"/>
      <c r="F1" s="39"/>
      <c r="G1" s="39"/>
      <c r="H1" s="39"/>
      <c r="I1" s="39"/>
      <c r="J1" s="39"/>
      <c r="K1" s="39"/>
      <c r="L1" s="39"/>
      <c r="M1" s="39"/>
      <c r="N1" s="39"/>
      <c r="O1" s="39"/>
      <c r="P1" s="39"/>
    </row>
    <row r="2" spans="1:16" x14ac:dyDescent="0.35">
      <c r="A2" s="40" t="s">
        <v>378</v>
      </c>
      <c r="B2" s="40"/>
      <c r="C2" s="40"/>
      <c r="D2" s="40"/>
      <c r="E2" s="40"/>
      <c r="F2" s="40"/>
      <c r="G2" s="40"/>
      <c r="H2" s="40"/>
      <c r="I2" s="40"/>
      <c r="J2" s="40"/>
      <c r="K2" s="40"/>
      <c r="L2" s="40"/>
      <c r="M2" s="40"/>
      <c r="N2" s="40"/>
      <c r="O2" s="40"/>
      <c r="P2" s="40"/>
    </row>
    <row r="3" spans="1:16" x14ac:dyDescent="0.35">
      <c r="A3" s="41" t="s">
        <v>232</v>
      </c>
      <c r="B3" s="41"/>
      <c r="C3" s="41"/>
      <c r="D3" s="41"/>
      <c r="E3" s="41"/>
      <c r="F3" s="41"/>
      <c r="G3" s="41"/>
      <c r="H3" s="41"/>
      <c r="I3" s="41"/>
      <c r="J3" s="41"/>
      <c r="K3" s="41"/>
      <c r="L3" s="41"/>
      <c r="M3" s="41"/>
      <c r="N3" s="41"/>
      <c r="O3" s="41"/>
      <c r="P3" s="41"/>
    </row>
    <row r="4" spans="1:16" x14ac:dyDescent="0.35">
      <c r="A4" s="35"/>
      <c r="B4" s="35"/>
      <c r="C4" s="35"/>
      <c r="D4" s="35"/>
      <c r="E4" s="35"/>
      <c r="F4" s="35"/>
      <c r="G4" s="35"/>
      <c r="H4" s="35"/>
      <c r="I4" s="35"/>
      <c r="J4" s="35"/>
      <c r="K4" s="35"/>
      <c r="L4" s="35"/>
      <c r="M4" s="35"/>
      <c r="N4" s="35"/>
      <c r="O4" s="35"/>
      <c r="P4" s="35"/>
    </row>
    <row r="5" spans="1:16" ht="15" thickBot="1" x14ac:dyDescent="0.4">
      <c r="A5" s="11" t="s">
        <v>231</v>
      </c>
      <c r="D5" s="11" t="s">
        <v>230</v>
      </c>
      <c r="G5" s="11" t="s">
        <v>229</v>
      </c>
      <c r="K5" s="11" t="s">
        <v>228</v>
      </c>
      <c r="O5" s="11" t="s">
        <v>79</v>
      </c>
    </row>
    <row r="6" spans="1:16" ht="15" thickBot="1" x14ac:dyDescent="0.4">
      <c r="A6" s="38"/>
      <c r="B6" s="38"/>
      <c r="D6" s="38"/>
      <c r="E6" s="38"/>
      <c r="G6" s="38"/>
      <c r="H6" s="38"/>
      <c r="I6" s="38"/>
      <c r="K6" s="38"/>
      <c r="L6" s="38"/>
      <c r="M6" s="38"/>
      <c r="O6" s="38"/>
      <c r="P6" s="38"/>
    </row>
    <row r="7" spans="1:16" x14ac:dyDescent="0.35">
      <c r="A7" s="43" t="s">
        <v>227</v>
      </c>
      <c r="B7" s="43"/>
      <c r="C7" s="43"/>
      <c r="D7" s="43"/>
      <c r="E7" s="43"/>
      <c r="F7" s="43"/>
      <c r="G7" s="43"/>
      <c r="H7" s="43"/>
      <c r="I7" s="43"/>
      <c r="J7" s="43"/>
      <c r="K7" s="43"/>
      <c r="L7" s="43"/>
      <c r="M7" s="43"/>
      <c r="N7" s="43"/>
      <c r="O7" s="43"/>
      <c r="P7" s="43"/>
    </row>
    <row r="8" spans="1:16" x14ac:dyDescent="0.35">
      <c r="A8" s="35"/>
      <c r="B8" s="35"/>
      <c r="C8" s="35"/>
      <c r="D8" s="35"/>
      <c r="E8" s="35"/>
      <c r="F8" s="35"/>
      <c r="G8" s="35"/>
      <c r="H8" s="35"/>
      <c r="I8" s="35"/>
      <c r="J8" s="35"/>
      <c r="K8" s="35"/>
      <c r="L8" s="35"/>
      <c r="M8" s="35"/>
      <c r="N8" s="35"/>
      <c r="O8" s="35"/>
      <c r="P8" s="35"/>
    </row>
    <row r="9" spans="1:16" s="82" customFormat="1" ht="13.5" thickBot="1" x14ac:dyDescent="0.35">
      <c r="A9" s="81" t="s">
        <v>377</v>
      </c>
      <c r="B9" s="81"/>
      <c r="C9" s="81"/>
      <c r="D9" s="81"/>
      <c r="E9" s="81"/>
      <c r="F9" s="81"/>
      <c r="G9" s="81"/>
      <c r="H9" s="81"/>
      <c r="I9" s="81"/>
      <c r="J9" s="81"/>
      <c r="K9" s="81"/>
      <c r="L9" s="81"/>
      <c r="M9" s="81"/>
      <c r="N9" s="81"/>
      <c r="O9" s="81"/>
      <c r="P9" s="81"/>
    </row>
    <row r="10" spans="1:16" ht="15" thickBot="1" x14ac:dyDescent="0.4">
      <c r="A10" s="36" t="s">
        <v>376</v>
      </c>
      <c r="B10" s="36"/>
      <c r="C10" s="36"/>
      <c r="D10" s="49"/>
      <c r="E10" s="49"/>
      <c r="F10" s="49"/>
      <c r="G10" s="49"/>
      <c r="H10" s="49"/>
    </row>
    <row r="11" spans="1:16" ht="15" thickBot="1" x14ac:dyDescent="0.4">
      <c r="A11" s="36" t="s">
        <v>375</v>
      </c>
      <c r="B11" s="36"/>
      <c r="C11" s="36"/>
      <c r="D11" s="49"/>
      <c r="E11" s="49"/>
      <c r="F11" s="49"/>
      <c r="G11" s="49"/>
      <c r="H11" s="49"/>
    </row>
    <row r="13" spans="1:16" x14ac:dyDescent="0.35">
      <c r="A13" s="47" t="s">
        <v>374</v>
      </c>
      <c r="B13" s="47"/>
      <c r="C13" s="47"/>
      <c r="D13" s="47"/>
      <c r="E13" s="47"/>
      <c r="F13" s="47"/>
      <c r="G13" s="47"/>
      <c r="H13" s="47"/>
      <c r="I13" s="47"/>
      <c r="J13" s="47"/>
      <c r="K13" s="47"/>
      <c r="L13" s="47"/>
      <c r="M13" s="47"/>
      <c r="N13" s="47"/>
      <c r="O13" s="47"/>
      <c r="P13" s="47"/>
    </row>
    <row r="14" spans="1:16" ht="46" x14ac:dyDescent="0.35">
      <c r="A14" s="8" t="s">
        <v>373</v>
      </c>
      <c r="B14" s="8" t="s">
        <v>372</v>
      </c>
      <c r="C14" s="8" t="s">
        <v>371</v>
      </c>
      <c r="D14" s="8" t="s">
        <v>370</v>
      </c>
      <c r="E14" s="8" t="s">
        <v>369</v>
      </c>
      <c r="F14" s="8" t="s">
        <v>368</v>
      </c>
      <c r="G14" s="8" t="s">
        <v>367</v>
      </c>
      <c r="H14" s="8" t="s">
        <v>366</v>
      </c>
      <c r="I14" s="8" t="s">
        <v>365</v>
      </c>
      <c r="J14" s="8" t="s">
        <v>310</v>
      </c>
      <c r="K14" s="8" t="s">
        <v>364</v>
      </c>
      <c r="L14" s="8" t="s">
        <v>363</v>
      </c>
      <c r="M14" s="8" t="s">
        <v>362</v>
      </c>
      <c r="N14" s="8" t="s">
        <v>361</v>
      </c>
      <c r="O14" s="8" t="s">
        <v>360</v>
      </c>
      <c r="P14" s="8" t="s">
        <v>359</v>
      </c>
    </row>
    <row r="15" spans="1:16" x14ac:dyDescent="0.35">
      <c r="A15" s="42" t="s">
        <v>358</v>
      </c>
      <c r="B15" s="42"/>
      <c r="C15" s="42"/>
      <c r="D15" s="42"/>
      <c r="E15" s="42"/>
      <c r="F15" s="42"/>
      <c r="G15" s="42"/>
      <c r="H15" s="42"/>
      <c r="I15" s="42"/>
      <c r="J15" s="42"/>
      <c r="K15" s="42"/>
      <c r="L15" s="42"/>
      <c r="M15" s="42"/>
      <c r="N15" s="42"/>
      <c r="O15" s="42"/>
      <c r="P15" s="42"/>
    </row>
    <row r="16" spans="1:16" ht="25" x14ac:dyDescent="0.35">
      <c r="A16" s="3" t="s">
        <v>357</v>
      </c>
      <c r="B16" s="6"/>
      <c r="C16" s="6"/>
      <c r="D16" s="6"/>
      <c r="E16" s="7" t="str">
        <f>IF(AND(B16&lt;&gt;"",D16&lt;&gt;""),B16-D16,"")</f>
        <v/>
      </c>
      <c r="F16" s="14" t="str">
        <f>IF(AND(B16&lt;&gt;"",B16&gt;0),D16/B16,"")</f>
        <v/>
      </c>
      <c r="G16" s="6"/>
      <c r="H16" s="6"/>
      <c r="I16" s="6"/>
      <c r="J16" s="14" t="str">
        <f>IF(AND(G16&lt;&gt;"",H16&lt;&gt;"",G16+H16&gt;0),H16/(G16+H16),"")</f>
        <v/>
      </c>
      <c r="K16" s="6"/>
      <c r="L16" s="6"/>
      <c r="M16" s="5"/>
      <c r="N16" s="6"/>
      <c r="O16" s="5"/>
      <c r="P16" s="22"/>
    </row>
    <row r="17" spans="1:16" x14ac:dyDescent="0.35">
      <c r="A17" s="3" t="s">
        <v>356</v>
      </c>
      <c r="B17" s="6"/>
      <c r="C17" s="6"/>
      <c r="D17" s="6"/>
      <c r="E17" s="7" t="str">
        <f>IF(AND(B17&lt;&gt;"",D17&lt;&gt;""),B17-D17,"")</f>
        <v/>
      </c>
      <c r="F17" s="14" t="str">
        <f>IF(AND(B17&lt;&gt;"",B17&gt;0),D17/B17,"")</f>
        <v/>
      </c>
      <c r="G17" s="6"/>
      <c r="H17" s="6"/>
      <c r="I17" s="6"/>
      <c r="J17" s="14" t="str">
        <f>IF(AND(G17&lt;&gt;"",H17&lt;&gt;"",G17+H17&gt;0),H17/(G17+H17),"")</f>
        <v/>
      </c>
      <c r="K17" s="6"/>
      <c r="L17" s="6"/>
      <c r="M17" s="5"/>
      <c r="N17" s="6"/>
      <c r="O17" s="5"/>
      <c r="P17" s="22"/>
    </row>
    <row r="18" spans="1:16" ht="25" x14ac:dyDescent="0.35">
      <c r="A18" s="3" t="s">
        <v>189</v>
      </c>
      <c r="B18" s="6"/>
      <c r="C18" s="6"/>
      <c r="D18" s="6"/>
      <c r="E18" s="7" t="str">
        <f>IF(AND(B18&lt;&gt;"",D18&lt;&gt;""),B18-D18,"")</f>
        <v/>
      </c>
      <c r="F18" s="14" t="str">
        <f>IF(AND(B18&lt;&gt;"",B18&gt;0),D18/B18,"")</f>
        <v/>
      </c>
      <c r="G18" s="6"/>
      <c r="H18" s="6"/>
      <c r="I18" s="6"/>
      <c r="J18" s="14" t="str">
        <f>IF(AND(G18&lt;&gt;"",H18&lt;&gt;"",G18+H18&gt;0),H18/(G18+H18),"")</f>
        <v/>
      </c>
      <c r="K18" s="6"/>
      <c r="L18" s="6"/>
      <c r="M18" s="5"/>
      <c r="N18" s="6"/>
      <c r="O18" s="5"/>
      <c r="P18" s="22"/>
    </row>
    <row r="19" spans="1:16" ht="25" x14ac:dyDescent="0.35">
      <c r="A19" s="3" t="s">
        <v>355</v>
      </c>
      <c r="B19" s="6"/>
      <c r="C19" s="6"/>
      <c r="D19" s="6"/>
      <c r="E19" s="7" t="str">
        <f>IF(AND(B19&lt;&gt;"",D19&lt;&gt;""),B19-D19,"")</f>
        <v/>
      </c>
      <c r="F19" s="14" t="str">
        <f>IF(AND(B19&lt;&gt;"",B19&gt;0),D19/B19,"")</f>
        <v/>
      </c>
      <c r="G19" s="6"/>
      <c r="H19" s="6"/>
      <c r="I19" s="6"/>
      <c r="J19" s="14" t="str">
        <f>IF(AND(G19&lt;&gt;"",H19&lt;&gt;"",G19+H19&gt;0),H19/(G19+H19),"")</f>
        <v/>
      </c>
      <c r="K19" s="6"/>
      <c r="L19" s="6"/>
      <c r="M19" s="5"/>
      <c r="N19" s="6"/>
      <c r="O19" s="5"/>
      <c r="P19" s="22"/>
    </row>
    <row r="20" spans="1:16" x14ac:dyDescent="0.35">
      <c r="A20" s="21" t="s">
        <v>354</v>
      </c>
      <c r="B20" s="19">
        <f>IF(ISNUMBER(B16),B16,0)+IF(ISNUMBER(B17),B17,0)+IF(ISNUMBER(B18),B18,0)+IF(ISNUMBER(B19),B19,0)</f>
        <v>0</v>
      </c>
      <c r="C20" s="19">
        <f>IF(ISNUMBER(C16),C16,0)+IF(ISNUMBER(C17),C17,0)+IF(ISNUMBER(C18),C18,0)+IF(ISNUMBER(C19),C19,0)</f>
        <v>0</v>
      </c>
      <c r="D20" s="19">
        <f>IF(ISNUMBER(D16),D16,0)+IF(ISNUMBER(D17),D17,0)+IF(ISNUMBER(D18),D18,0)+IF(ISNUMBER(D19),D19,0)</f>
        <v>0</v>
      </c>
      <c r="E20" s="19">
        <f>IF(AND(B20&lt;&gt;"",D20&lt;&gt;""),B20-D20,"")</f>
        <v>0</v>
      </c>
      <c r="F20" s="20" t="str">
        <f>IF(AND(B20&lt;&gt;"",B20&gt;0),D20/B20,"")</f>
        <v/>
      </c>
      <c r="G20" s="19">
        <f>IF(ISNUMBER(G16),G16,0)+IF(ISNUMBER(G17),G17,0)+IF(ISNUMBER(G18),G18,0)+IF(ISNUMBER(G19),G19,0)</f>
        <v>0</v>
      </c>
      <c r="H20" s="19">
        <f>IF(ISNUMBER(H16),H16,0)+IF(ISNUMBER(H17),H17,0)+IF(ISNUMBER(H18),H18,0)+IF(ISNUMBER(H19),H19,0)</f>
        <v>0</v>
      </c>
      <c r="I20" s="19">
        <f>IF(ISNUMBER(I16),I16,0)+IF(ISNUMBER(I17),I17,0)+IF(ISNUMBER(I18),I18,0)+IF(ISNUMBER(I19),I19,0)</f>
        <v>0</v>
      </c>
      <c r="J20" s="20" t="str">
        <f>IF(AND(G20&lt;&gt;"",H20&lt;&gt;"",G20+H20&gt;0),H20/(G20+H20),"")</f>
        <v/>
      </c>
      <c r="K20" s="19">
        <f>IF(ISNUMBER(K16),K16,0)+IF(ISNUMBER(K17),K17,0)+IF(ISNUMBER(K18),K18,0)+IF(ISNUMBER(K19),K19,0)</f>
        <v>0</v>
      </c>
      <c r="L20" s="19">
        <f>IF(ISNUMBER(L16),L16,0)+IF(ISNUMBER(L17),L17,0)+IF(ISNUMBER(L18),L18,0)+IF(ISNUMBER(L19),L19,0)</f>
        <v>0</v>
      </c>
      <c r="N20" s="19">
        <f>IF(ISNUMBER(N16),N16,0)+IF(ISNUMBER(N17),N17,0)+IF(ISNUMBER(N18),N18,0)+IF(ISNUMBER(N19),N19,0)</f>
        <v>0</v>
      </c>
    </row>
    <row r="21" spans="1:16" x14ac:dyDescent="0.35">
      <c r="A21" s="42" t="s">
        <v>353</v>
      </c>
      <c r="B21" s="42"/>
      <c r="C21" s="42"/>
      <c r="D21" s="42"/>
      <c r="E21" s="42"/>
      <c r="F21" s="42"/>
      <c r="G21" s="42"/>
      <c r="H21" s="42"/>
      <c r="I21" s="42"/>
      <c r="J21" s="42"/>
      <c r="K21" s="42"/>
      <c r="L21" s="42"/>
      <c r="M21" s="42"/>
      <c r="N21" s="42"/>
      <c r="O21" s="42"/>
      <c r="P21" s="42"/>
    </row>
    <row r="22" spans="1:16" x14ac:dyDescent="0.35">
      <c r="A22" s="3" t="s">
        <v>352</v>
      </c>
      <c r="B22" s="6"/>
      <c r="C22" s="6"/>
      <c r="D22" s="6"/>
      <c r="E22" s="7" t="str">
        <f t="shared" ref="E22:E28" si="0">IF(AND(B22&lt;&gt;"",D22&lt;&gt;""),B22-D22,"")</f>
        <v/>
      </c>
      <c r="F22" s="14" t="str">
        <f t="shared" ref="F22:F28" si="1">IF(AND(B22&lt;&gt;"",B22&gt;0),D22/B22,"")</f>
        <v/>
      </c>
      <c r="G22" s="6"/>
      <c r="H22" s="6"/>
      <c r="I22" s="6"/>
      <c r="J22" s="14" t="str">
        <f t="shared" ref="J22:J28" si="2">IF(AND(G22&lt;&gt;"",H22&lt;&gt;"",G22+H22&gt;0),H22/(G22+H22),"")</f>
        <v/>
      </c>
      <c r="K22" s="6"/>
      <c r="L22" s="6"/>
      <c r="M22" s="5"/>
      <c r="N22" s="6"/>
      <c r="O22" s="5"/>
      <c r="P22" s="22"/>
    </row>
    <row r="23" spans="1:16" ht="25" x14ac:dyDescent="0.35">
      <c r="A23" s="3" t="s">
        <v>351</v>
      </c>
      <c r="B23" s="6"/>
      <c r="C23" s="6"/>
      <c r="D23" s="6"/>
      <c r="E23" s="7" t="str">
        <f t="shared" si="0"/>
        <v/>
      </c>
      <c r="F23" s="14" t="str">
        <f t="shared" si="1"/>
        <v/>
      </c>
      <c r="G23" s="6"/>
      <c r="H23" s="6"/>
      <c r="I23" s="6"/>
      <c r="J23" s="14" t="str">
        <f t="shared" si="2"/>
        <v/>
      </c>
      <c r="K23" s="6"/>
      <c r="L23" s="6"/>
      <c r="M23" s="5"/>
      <c r="N23" s="6"/>
      <c r="O23" s="5"/>
      <c r="P23" s="22"/>
    </row>
    <row r="24" spans="1:16" ht="25" x14ac:dyDescent="0.35">
      <c r="A24" s="3" t="s">
        <v>350</v>
      </c>
      <c r="B24" s="6"/>
      <c r="C24" s="6"/>
      <c r="D24" s="6"/>
      <c r="E24" s="7" t="str">
        <f t="shared" si="0"/>
        <v/>
      </c>
      <c r="F24" s="14" t="str">
        <f t="shared" si="1"/>
        <v/>
      </c>
      <c r="G24" s="6"/>
      <c r="H24" s="6"/>
      <c r="I24" s="6"/>
      <c r="J24" s="14" t="str">
        <f t="shared" si="2"/>
        <v/>
      </c>
      <c r="K24" s="6"/>
      <c r="L24" s="6"/>
      <c r="M24" s="5"/>
      <c r="N24" s="6"/>
      <c r="O24" s="5"/>
      <c r="P24" s="22"/>
    </row>
    <row r="25" spans="1:16" x14ac:dyDescent="0.35">
      <c r="A25" s="3" t="s">
        <v>349</v>
      </c>
      <c r="B25" s="6"/>
      <c r="C25" s="6"/>
      <c r="D25" s="6"/>
      <c r="E25" s="7" t="str">
        <f t="shared" si="0"/>
        <v/>
      </c>
      <c r="F25" s="14" t="str">
        <f t="shared" si="1"/>
        <v/>
      </c>
      <c r="G25" s="6"/>
      <c r="H25" s="6"/>
      <c r="I25" s="6"/>
      <c r="J25" s="14" t="str">
        <f t="shared" si="2"/>
        <v/>
      </c>
      <c r="K25" s="6"/>
      <c r="L25" s="6"/>
      <c r="M25" s="5"/>
      <c r="N25" s="6"/>
      <c r="O25" s="5"/>
      <c r="P25" s="22"/>
    </row>
    <row r="26" spans="1:16" ht="25" x14ac:dyDescent="0.35">
      <c r="A26" s="3" t="s">
        <v>348</v>
      </c>
      <c r="B26" s="6"/>
      <c r="C26" s="6"/>
      <c r="D26" s="6"/>
      <c r="E26" s="7" t="str">
        <f t="shared" si="0"/>
        <v/>
      </c>
      <c r="F26" s="14" t="str">
        <f t="shared" si="1"/>
        <v/>
      </c>
      <c r="G26" s="6"/>
      <c r="H26" s="6"/>
      <c r="I26" s="6"/>
      <c r="J26" s="14" t="str">
        <f t="shared" si="2"/>
        <v/>
      </c>
      <c r="K26" s="6"/>
      <c r="L26" s="6"/>
      <c r="M26" s="5"/>
      <c r="N26" s="6"/>
      <c r="O26" s="5"/>
      <c r="P26" s="22"/>
    </row>
    <row r="27" spans="1:16" ht="25" x14ac:dyDescent="0.35">
      <c r="A27" s="3" t="s">
        <v>347</v>
      </c>
      <c r="B27" s="6"/>
      <c r="C27" s="6"/>
      <c r="D27" s="6"/>
      <c r="E27" s="7" t="str">
        <f t="shared" si="0"/>
        <v/>
      </c>
      <c r="F27" s="14" t="str">
        <f t="shared" si="1"/>
        <v/>
      </c>
      <c r="G27" s="6"/>
      <c r="H27" s="6"/>
      <c r="I27" s="6"/>
      <c r="J27" s="14" t="str">
        <f t="shared" si="2"/>
        <v/>
      </c>
      <c r="K27" s="6"/>
      <c r="L27" s="6"/>
      <c r="M27" s="5"/>
      <c r="N27" s="6"/>
      <c r="O27" s="5"/>
      <c r="P27" s="22"/>
    </row>
    <row r="28" spans="1:16" x14ac:dyDescent="0.35">
      <c r="A28" s="21" t="s">
        <v>346</v>
      </c>
      <c r="B28" s="19">
        <f>IF(ISNUMBER(B22),B22,0)+IF(ISNUMBER(B23),B23,0)+IF(ISNUMBER(B24),B24,0)+IF(ISNUMBER(B25),B25,0)+IF(ISNUMBER(B26),B26,0)+IF(ISNUMBER(B27),B27,0)</f>
        <v>0</v>
      </c>
      <c r="C28" s="19">
        <f>IF(ISNUMBER(C22),C22,0)+IF(ISNUMBER(C23),C23,0)+IF(ISNUMBER(C24),C24,0)+IF(ISNUMBER(C25),C25,0)+IF(ISNUMBER(C26),C26,0)+IF(ISNUMBER(C27),C27,0)</f>
        <v>0</v>
      </c>
      <c r="D28" s="19">
        <f>IF(ISNUMBER(D22),D22,0)+IF(ISNUMBER(D23),D23,0)+IF(ISNUMBER(D24),D24,0)+IF(ISNUMBER(D25),D25,0)+IF(ISNUMBER(D26),D26,0)+IF(ISNUMBER(D27),D27,0)</f>
        <v>0</v>
      </c>
      <c r="E28" s="19">
        <f t="shared" si="0"/>
        <v>0</v>
      </c>
      <c r="F28" s="20" t="str">
        <f t="shared" si="1"/>
        <v/>
      </c>
      <c r="G28" s="19">
        <f>IF(ISNUMBER(G22),G22,0)+IF(ISNUMBER(G23),G23,0)+IF(ISNUMBER(G24),G24,0)+IF(ISNUMBER(G25),G25,0)+IF(ISNUMBER(G26),G26,0)+IF(ISNUMBER(G27),G27,0)</f>
        <v>0</v>
      </c>
      <c r="H28" s="19">
        <f>IF(ISNUMBER(H22),H22,0)+IF(ISNUMBER(H23),H23,0)+IF(ISNUMBER(H24),H24,0)+IF(ISNUMBER(H25),H25,0)+IF(ISNUMBER(H26),H26,0)+IF(ISNUMBER(H27),H27,0)</f>
        <v>0</v>
      </c>
      <c r="I28" s="19">
        <f>IF(ISNUMBER(I22),I22,0)+IF(ISNUMBER(I23),I23,0)+IF(ISNUMBER(I24),I24,0)+IF(ISNUMBER(I25),I25,0)+IF(ISNUMBER(I26),I26,0)+IF(ISNUMBER(I27),I27,0)</f>
        <v>0</v>
      </c>
      <c r="J28" s="20" t="str">
        <f t="shared" si="2"/>
        <v/>
      </c>
      <c r="K28" s="19">
        <f>IF(ISNUMBER(K22),K22,0)+IF(ISNUMBER(K23),K23,0)+IF(ISNUMBER(K24),K24,0)+IF(ISNUMBER(K25),K25,0)+IF(ISNUMBER(K26),K26,0)+IF(ISNUMBER(K27),K27,0)</f>
        <v>0</v>
      </c>
      <c r="L28" s="19">
        <f>IF(ISNUMBER(L22),L22,0)+IF(ISNUMBER(L23),L23,0)+IF(ISNUMBER(L24),L24,0)+IF(ISNUMBER(L25),L25,0)+IF(ISNUMBER(L26),L26,0)+IF(ISNUMBER(L27),L27,0)</f>
        <v>0</v>
      </c>
      <c r="N28" s="19">
        <f>IF(ISNUMBER(N22),N22,0)+IF(ISNUMBER(N23),N23,0)+IF(ISNUMBER(N24),N24,0)+IF(ISNUMBER(N25),N25,0)+IF(ISNUMBER(N26),N26,0)+IF(ISNUMBER(N27),N27,0)</f>
        <v>0</v>
      </c>
    </row>
    <row r="29" spans="1:16" x14ac:dyDescent="0.35">
      <c r="A29" s="42" t="s">
        <v>345</v>
      </c>
      <c r="B29" s="42"/>
      <c r="C29" s="42"/>
      <c r="D29" s="42"/>
      <c r="E29" s="42"/>
      <c r="F29" s="42"/>
      <c r="G29" s="42"/>
      <c r="H29" s="42"/>
      <c r="I29" s="42"/>
      <c r="J29" s="42"/>
      <c r="K29" s="42"/>
      <c r="L29" s="42"/>
      <c r="M29" s="42"/>
      <c r="N29" s="42"/>
      <c r="O29" s="42"/>
      <c r="P29" s="42"/>
    </row>
    <row r="30" spans="1:16" x14ac:dyDescent="0.35">
      <c r="A30" s="3" t="s">
        <v>344</v>
      </c>
      <c r="B30" s="6"/>
      <c r="C30" s="6"/>
      <c r="D30" s="6"/>
      <c r="E30" s="7" t="str">
        <f>IF(AND(B30&lt;&gt;"",D30&lt;&gt;""),B30-D30,"")</f>
        <v/>
      </c>
      <c r="F30" s="14" t="str">
        <f>IF(AND(B30&lt;&gt;"",B30&gt;0),D30/B30,"")</f>
        <v/>
      </c>
      <c r="G30" s="6"/>
      <c r="H30" s="6"/>
      <c r="I30" s="6"/>
      <c r="J30" s="14" t="str">
        <f>IF(AND(G30&lt;&gt;"",H30&lt;&gt;"",G30+H30&gt;0),H30/(G30+H30),"")</f>
        <v/>
      </c>
      <c r="K30" s="6"/>
      <c r="L30" s="6"/>
      <c r="M30" s="5"/>
      <c r="N30" s="6"/>
      <c r="O30" s="5"/>
      <c r="P30" s="22"/>
    </row>
    <row r="31" spans="1:16" x14ac:dyDescent="0.35">
      <c r="A31" s="3" t="s">
        <v>343</v>
      </c>
      <c r="B31" s="6"/>
      <c r="C31" s="6"/>
      <c r="D31" s="6"/>
      <c r="E31" s="7" t="str">
        <f>IF(AND(B31&lt;&gt;"",D31&lt;&gt;""),B31-D31,"")</f>
        <v/>
      </c>
      <c r="F31" s="14" t="str">
        <f>IF(AND(B31&lt;&gt;"",B31&gt;0),D31/B31,"")</f>
        <v/>
      </c>
      <c r="G31" s="6"/>
      <c r="H31" s="6"/>
      <c r="I31" s="6"/>
      <c r="J31" s="14" t="str">
        <f>IF(AND(G31&lt;&gt;"",H31&lt;&gt;"",G31+H31&gt;0),H31/(G31+H31),"")</f>
        <v/>
      </c>
      <c r="K31" s="6"/>
      <c r="L31" s="6"/>
      <c r="M31" s="5"/>
      <c r="N31" s="6"/>
      <c r="O31" s="5"/>
      <c r="P31" s="22"/>
    </row>
    <row r="32" spans="1:16" x14ac:dyDescent="0.35">
      <c r="A32" s="21" t="s">
        <v>342</v>
      </c>
      <c r="B32" s="19">
        <f>IF(ISNUMBER(B30),B30,0)+IF(ISNUMBER(B31),B31,0)</f>
        <v>0</v>
      </c>
      <c r="C32" s="19">
        <f>IF(ISNUMBER(C30),C30,0)+IF(ISNUMBER(C31),C31,0)</f>
        <v>0</v>
      </c>
      <c r="D32" s="19">
        <f>IF(ISNUMBER(D30),D30,0)+IF(ISNUMBER(D31),D31,0)</f>
        <v>0</v>
      </c>
      <c r="E32" s="19">
        <f>IF(AND(B32&lt;&gt;"",D32&lt;&gt;""),B32-D32,"")</f>
        <v>0</v>
      </c>
      <c r="F32" s="20" t="str">
        <f>IF(AND(B32&lt;&gt;"",B32&gt;0),D32/B32,"")</f>
        <v/>
      </c>
      <c r="G32" s="19">
        <f>IF(ISNUMBER(G30),G30,0)+IF(ISNUMBER(G31),G31,0)</f>
        <v>0</v>
      </c>
      <c r="H32" s="19">
        <f>IF(ISNUMBER(H30),H30,0)+IF(ISNUMBER(H31),H31,0)</f>
        <v>0</v>
      </c>
      <c r="I32" s="19">
        <f>IF(ISNUMBER(I30),I30,0)+IF(ISNUMBER(I31),I31,0)</f>
        <v>0</v>
      </c>
      <c r="J32" s="20" t="str">
        <f>IF(AND(G32&lt;&gt;"",H32&lt;&gt;"",G32+H32&gt;0),H32/(G32+H32),"")</f>
        <v/>
      </c>
      <c r="K32" s="19">
        <f>IF(ISNUMBER(K30),K30,0)+IF(ISNUMBER(K31),K31,0)</f>
        <v>0</v>
      </c>
      <c r="L32" s="19">
        <f>IF(ISNUMBER(L30),L30,0)+IF(ISNUMBER(L31),L31,0)</f>
        <v>0</v>
      </c>
      <c r="N32" s="19">
        <f>IF(ISNUMBER(N30),N30,0)+IF(ISNUMBER(N31),N31,0)</f>
        <v>0</v>
      </c>
    </row>
    <row r="33" spans="1:16" x14ac:dyDescent="0.35">
      <c r="A33" s="42" t="s">
        <v>341</v>
      </c>
      <c r="B33" s="42"/>
      <c r="C33" s="42"/>
      <c r="D33" s="42"/>
      <c r="E33" s="42"/>
      <c r="F33" s="42"/>
      <c r="G33" s="42"/>
      <c r="H33" s="42"/>
      <c r="I33" s="42"/>
      <c r="J33" s="42"/>
      <c r="K33" s="42"/>
      <c r="L33" s="42"/>
      <c r="M33" s="42"/>
      <c r="N33" s="42"/>
      <c r="O33" s="42"/>
      <c r="P33" s="42"/>
    </row>
    <row r="34" spans="1:16" x14ac:dyDescent="0.35">
      <c r="A34" s="3" t="s">
        <v>340</v>
      </c>
      <c r="B34" s="6"/>
      <c r="C34" s="6"/>
      <c r="D34" s="6"/>
      <c r="E34" s="7" t="str">
        <f>IF(AND(B34&lt;&gt;"",D34&lt;&gt;""),B34-D34,"")</f>
        <v/>
      </c>
      <c r="F34" s="14" t="str">
        <f>IF(AND(B34&lt;&gt;"",B34&gt;0),D34/B34,"")</f>
        <v/>
      </c>
      <c r="G34" s="6"/>
      <c r="H34" s="6"/>
      <c r="I34" s="6"/>
      <c r="J34" s="14" t="str">
        <f>IF(AND(G34&lt;&gt;"",H34&lt;&gt;"",G34+H34&gt;0),H34/(G34+H34),"")</f>
        <v/>
      </c>
      <c r="K34" s="6"/>
      <c r="L34" s="6"/>
      <c r="M34" s="5"/>
      <c r="N34" s="6"/>
      <c r="O34" s="5"/>
      <c r="P34" s="22"/>
    </row>
    <row r="35" spans="1:16" x14ac:dyDescent="0.35">
      <c r="A35" s="3" t="s">
        <v>339</v>
      </c>
      <c r="B35" s="6"/>
      <c r="C35" s="6"/>
      <c r="D35" s="6"/>
      <c r="E35" s="7" t="str">
        <f>IF(AND(B35&lt;&gt;"",D35&lt;&gt;""),B35-D35,"")</f>
        <v/>
      </c>
      <c r="F35" s="14" t="str">
        <f>IF(AND(B35&lt;&gt;"",B35&gt;0),D35/B35,"")</f>
        <v/>
      </c>
      <c r="G35" s="6"/>
      <c r="H35" s="6"/>
      <c r="I35" s="6"/>
      <c r="J35" s="14" t="str">
        <f>IF(AND(G35&lt;&gt;"",H35&lt;&gt;"",G35+H35&gt;0),H35/(G35+H35),"")</f>
        <v/>
      </c>
      <c r="K35" s="6"/>
      <c r="L35" s="6"/>
      <c r="M35" s="5"/>
      <c r="N35" s="6"/>
      <c r="O35" s="5"/>
      <c r="P35" s="22"/>
    </row>
    <row r="36" spans="1:16" x14ac:dyDescent="0.35">
      <c r="A36" s="21" t="s">
        <v>338</v>
      </c>
      <c r="B36" s="19">
        <f>IF(ISNUMBER(B34),B34,0)+IF(ISNUMBER(B35),B35,0)</f>
        <v>0</v>
      </c>
      <c r="C36" s="19">
        <f>IF(ISNUMBER(C34),C34,0)+IF(ISNUMBER(C35),C35,0)</f>
        <v>0</v>
      </c>
      <c r="D36" s="19">
        <f>IF(ISNUMBER(D34),D34,0)+IF(ISNUMBER(D35),D35,0)</f>
        <v>0</v>
      </c>
      <c r="E36" s="19">
        <f>IF(AND(B36&lt;&gt;"",D36&lt;&gt;""),B36-D36,"")</f>
        <v>0</v>
      </c>
      <c r="F36" s="20" t="str">
        <f>IF(AND(B36&lt;&gt;"",B36&gt;0),D36/B36,"")</f>
        <v/>
      </c>
      <c r="G36" s="19">
        <f>IF(ISNUMBER(G34),G34,0)+IF(ISNUMBER(G35),G35,0)</f>
        <v>0</v>
      </c>
      <c r="H36" s="19">
        <f>IF(ISNUMBER(H34),H34,0)+IF(ISNUMBER(H35),H35,0)</f>
        <v>0</v>
      </c>
      <c r="I36" s="19">
        <f>IF(ISNUMBER(I34),I34,0)+IF(ISNUMBER(I35),I35,0)</f>
        <v>0</v>
      </c>
      <c r="J36" s="20" t="str">
        <f>IF(AND(G36&lt;&gt;"",H36&lt;&gt;"",G36+H36&gt;0),H36/(G36+H36),"")</f>
        <v/>
      </c>
      <c r="K36" s="19">
        <f>IF(ISNUMBER(K34),K34,0)+IF(ISNUMBER(K35),K35,0)</f>
        <v>0</v>
      </c>
      <c r="L36" s="19">
        <f>IF(ISNUMBER(L34),L34,0)+IF(ISNUMBER(L35),L35,0)</f>
        <v>0</v>
      </c>
      <c r="N36" s="19">
        <f>IF(ISNUMBER(N34),N34,0)+IF(ISNUMBER(N35),N35,0)</f>
        <v>0</v>
      </c>
    </row>
    <row r="38" spans="1:16" x14ac:dyDescent="0.35">
      <c r="A38" s="47" t="s">
        <v>337</v>
      </c>
      <c r="B38" s="47"/>
      <c r="C38" s="47"/>
      <c r="D38" s="47"/>
      <c r="E38" s="47"/>
      <c r="F38" s="47"/>
      <c r="G38" s="47"/>
      <c r="H38" s="47"/>
      <c r="I38" s="47"/>
      <c r="J38" s="47"/>
      <c r="K38" s="47"/>
      <c r="L38" s="47"/>
      <c r="M38" s="47"/>
      <c r="N38" s="47"/>
      <c r="O38" s="47"/>
      <c r="P38" s="47"/>
    </row>
    <row r="39" spans="1:16" x14ac:dyDescent="0.35">
      <c r="A39" s="44" t="s">
        <v>336</v>
      </c>
      <c r="B39" s="44"/>
      <c r="C39" s="44"/>
      <c r="D39" s="44"/>
      <c r="E39" s="44"/>
      <c r="F39" s="44"/>
      <c r="G39" s="44"/>
      <c r="H39" s="44"/>
      <c r="I39" s="44"/>
      <c r="J39" s="44"/>
      <c r="K39" s="44"/>
      <c r="L39" s="44"/>
      <c r="M39" s="44"/>
      <c r="N39" s="44"/>
      <c r="O39" s="44"/>
      <c r="P39" s="44"/>
    </row>
    <row r="40" spans="1:16" ht="23" x14ac:dyDescent="0.35">
      <c r="A40" s="18" t="s">
        <v>335</v>
      </c>
      <c r="B40" s="18" t="s">
        <v>334</v>
      </c>
      <c r="C40" s="18" t="s">
        <v>333</v>
      </c>
      <c r="D40" s="18" t="s">
        <v>332</v>
      </c>
      <c r="E40" s="18" t="s">
        <v>331</v>
      </c>
      <c r="F40" s="18" t="s">
        <v>330</v>
      </c>
      <c r="G40" s="18" t="s">
        <v>329</v>
      </c>
      <c r="H40" s="18" t="s">
        <v>328</v>
      </c>
      <c r="I40" s="18" t="s">
        <v>235</v>
      </c>
    </row>
    <row r="41" spans="1:16" x14ac:dyDescent="0.35">
      <c r="A41" s="15" t="s">
        <v>327</v>
      </c>
      <c r="B41" s="6"/>
      <c r="C41" s="6"/>
      <c r="D41" s="6"/>
      <c r="E41" s="6"/>
      <c r="F41" s="6"/>
      <c r="G41" s="7" t="str">
        <f t="shared" ref="G41:G48" si="3">IF(AND(B41&lt;&gt;"",F41&lt;&gt;""),F41-B41,"")</f>
        <v/>
      </c>
      <c r="H41" s="14" t="str">
        <f t="shared" ref="H41:H48" si="4">IF(AND(B41&lt;&gt;"",B41&gt;0),(F41-B41)/B41,"")</f>
        <v/>
      </c>
      <c r="I41" s="46"/>
      <c r="J41" s="46"/>
      <c r="K41" s="46"/>
      <c r="L41" s="46"/>
    </row>
    <row r="42" spans="1:16" x14ac:dyDescent="0.35">
      <c r="A42" s="15" t="s">
        <v>326</v>
      </c>
      <c r="B42" s="6"/>
      <c r="C42" s="6"/>
      <c r="D42" s="6"/>
      <c r="E42" s="6"/>
      <c r="F42" s="6"/>
      <c r="G42" s="7" t="str">
        <f t="shared" si="3"/>
        <v/>
      </c>
      <c r="H42" s="14" t="str">
        <f t="shared" si="4"/>
        <v/>
      </c>
      <c r="I42" s="46"/>
      <c r="J42" s="46"/>
      <c r="K42" s="46"/>
      <c r="L42" s="46"/>
    </row>
    <row r="43" spans="1:16" x14ac:dyDescent="0.35">
      <c r="A43" s="15" t="s">
        <v>325</v>
      </c>
      <c r="B43" s="6"/>
      <c r="C43" s="6"/>
      <c r="D43" s="6"/>
      <c r="E43" s="6"/>
      <c r="F43" s="6"/>
      <c r="G43" s="7" t="str">
        <f t="shared" si="3"/>
        <v/>
      </c>
      <c r="H43" s="14" t="str">
        <f t="shared" si="4"/>
        <v/>
      </c>
      <c r="I43" s="46"/>
      <c r="J43" s="46"/>
      <c r="K43" s="46"/>
      <c r="L43" s="46"/>
    </row>
    <row r="44" spans="1:16" x14ac:dyDescent="0.35">
      <c r="A44" s="15" t="s">
        <v>324</v>
      </c>
      <c r="B44" s="6"/>
      <c r="C44" s="6"/>
      <c r="D44" s="6"/>
      <c r="E44" s="6"/>
      <c r="F44" s="6"/>
      <c r="G44" s="7" t="str">
        <f t="shared" si="3"/>
        <v/>
      </c>
      <c r="H44" s="14" t="str">
        <f t="shared" si="4"/>
        <v/>
      </c>
      <c r="I44" s="46"/>
      <c r="J44" s="46"/>
      <c r="K44" s="46"/>
      <c r="L44" s="46"/>
    </row>
    <row r="45" spans="1:16" x14ac:dyDescent="0.35">
      <c r="A45" s="15" t="s">
        <v>323</v>
      </c>
      <c r="B45" s="6"/>
      <c r="C45" s="6"/>
      <c r="D45" s="6"/>
      <c r="E45" s="6"/>
      <c r="F45" s="6"/>
      <c r="G45" s="7" t="str">
        <f t="shared" si="3"/>
        <v/>
      </c>
      <c r="H45" s="14" t="str">
        <f t="shared" si="4"/>
        <v/>
      </c>
      <c r="I45" s="46"/>
      <c r="J45" s="46"/>
      <c r="K45" s="46"/>
      <c r="L45" s="46"/>
    </row>
    <row r="46" spans="1:16" x14ac:dyDescent="0.35">
      <c r="A46" s="15" t="s">
        <v>322</v>
      </c>
      <c r="B46" s="6"/>
      <c r="C46" s="6"/>
      <c r="D46" s="6"/>
      <c r="E46" s="6"/>
      <c r="F46" s="6"/>
      <c r="G46" s="7" t="str">
        <f t="shared" si="3"/>
        <v/>
      </c>
      <c r="H46" s="14" t="str">
        <f t="shared" si="4"/>
        <v/>
      </c>
      <c r="I46" s="46"/>
      <c r="J46" s="46"/>
      <c r="K46" s="46"/>
      <c r="L46" s="46"/>
    </row>
    <row r="47" spans="1:16" x14ac:dyDescent="0.35">
      <c r="A47" s="15" t="s">
        <v>321</v>
      </c>
      <c r="B47" s="6"/>
      <c r="C47" s="6"/>
      <c r="D47" s="6"/>
      <c r="E47" s="6"/>
      <c r="F47" s="6"/>
      <c r="G47" s="7" t="str">
        <f t="shared" si="3"/>
        <v/>
      </c>
      <c r="H47" s="14" t="str">
        <f t="shared" si="4"/>
        <v/>
      </c>
      <c r="I47" s="46"/>
      <c r="J47" s="46"/>
      <c r="K47" s="46"/>
      <c r="L47" s="46"/>
    </row>
    <row r="48" spans="1:16" x14ac:dyDescent="0.35">
      <c r="A48" s="15" t="s">
        <v>320</v>
      </c>
      <c r="B48" s="6"/>
      <c r="C48" s="6"/>
      <c r="D48" s="6"/>
      <c r="E48" s="6"/>
      <c r="F48" s="6"/>
      <c r="G48" s="7" t="str">
        <f t="shared" si="3"/>
        <v/>
      </c>
      <c r="H48" s="14" t="str">
        <f t="shared" si="4"/>
        <v/>
      </c>
      <c r="I48" s="46"/>
      <c r="J48" s="46"/>
      <c r="K48" s="46"/>
      <c r="L48" s="46"/>
    </row>
  </sheetData>
  <mergeCells count="31">
    <mergeCell ref="I47:L47"/>
    <mergeCell ref="I48:L48"/>
    <mergeCell ref="I42:L42"/>
    <mergeCell ref="I43:L43"/>
    <mergeCell ref="I44:L44"/>
    <mergeCell ref="I45:L45"/>
    <mergeCell ref="I46:L46"/>
    <mergeCell ref="A11:C11"/>
    <mergeCell ref="D11:H11"/>
    <mergeCell ref="A13:P13"/>
    <mergeCell ref="A15:P15"/>
    <mergeCell ref="A21:P21"/>
    <mergeCell ref="A29:P29"/>
    <mergeCell ref="A33:P33"/>
    <mergeCell ref="A38:P38"/>
    <mergeCell ref="A39:P39"/>
    <mergeCell ref="I41:L41"/>
    <mergeCell ref="A8:P8"/>
    <mergeCell ref="A9:P9"/>
    <mergeCell ref="A10:C10"/>
    <mergeCell ref="D10:H10"/>
    <mergeCell ref="A1:P1"/>
    <mergeCell ref="A2:P2"/>
    <mergeCell ref="A3:P3"/>
    <mergeCell ref="A4:P4"/>
    <mergeCell ref="A6:B6"/>
    <mergeCell ref="D6:E6"/>
    <mergeCell ref="G6:I6"/>
    <mergeCell ref="K6:M6"/>
    <mergeCell ref="O6:P6"/>
    <mergeCell ref="A7:P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DE1-7B67-40ED-BD37-7543B678C89D}">
  <dimension ref="A1:P61"/>
  <sheetViews>
    <sheetView showGridLines="0" zoomScaleNormal="100" workbookViewId="0">
      <pane xSplit="1" ySplit="11" topLeftCell="B12" activePane="bottomRight" state="frozen"/>
      <selection activeCell="B10" sqref="B10:B11"/>
      <selection pane="topRight" activeCell="B10" sqref="B10:B11"/>
      <selection pane="bottomLeft" activeCell="B10" sqref="B10:B11"/>
      <selection pane="bottomRight" activeCell="A9" sqref="A9:L9"/>
    </sheetView>
  </sheetViews>
  <sheetFormatPr defaultColWidth="8.6328125" defaultRowHeight="14.5" x14ac:dyDescent="0.35"/>
  <cols>
    <col min="1" max="1" width="42" style="1" customWidth="1"/>
    <col min="2" max="7" width="16" style="1" customWidth="1"/>
    <col min="8" max="11" width="18" style="1" customWidth="1"/>
    <col min="12" max="12" width="20" style="1" customWidth="1"/>
    <col min="13" max="16384" width="8.6328125" style="1"/>
  </cols>
  <sheetData>
    <row r="1" spans="1:16" ht="33.75" customHeight="1" x14ac:dyDescent="0.35">
      <c r="A1" s="39" t="s">
        <v>459</v>
      </c>
      <c r="B1" s="39"/>
      <c r="C1" s="39"/>
      <c r="D1" s="39"/>
      <c r="E1" s="39"/>
      <c r="F1" s="39"/>
      <c r="G1" s="39"/>
      <c r="H1" s="39"/>
      <c r="I1" s="39"/>
      <c r="J1" s="39"/>
      <c r="K1" s="39"/>
      <c r="L1" s="39"/>
    </row>
    <row r="2" spans="1:16" ht="18" customHeight="1" x14ac:dyDescent="0.35">
      <c r="A2" s="40" t="s">
        <v>458</v>
      </c>
      <c r="B2" s="40"/>
      <c r="C2" s="40"/>
      <c r="D2" s="40"/>
      <c r="E2" s="40"/>
      <c r="F2" s="40"/>
      <c r="G2" s="40"/>
      <c r="H2" s="40"/>
      <c r="I2" s="40"/>
      <c r="J2" s="40"/>
      <c r="K2" s="40"/>
      <c r="L2" s="40"/>
    </row>
    <row r="3" spans="1:16" ht="13.5" customHeight="1" x14ac:dyDescent="0.35">
      <c r="A3" s="41" t="s">
        <v>232</v>
      </c>
      <c r="B3" s="41"/>
      <c r="C3" s="41"/>
      <c r="D3" s="41"/>
      <c r="E3" s="41"/>
      <c r="F3" s="41"/>
      <c r="G3" s="41"/>
      <c r="H3" s="41"/>
      <c r="I3" s="41"/>
      <c r="J3" s="41"/>
      <c r="K3" s="41"/>
      <c r="L3" s="41"/>
    </row>
    <row r="4" spans="1:16" ht="6" customHeight="1" x14ac:dyDescent="0.35">
      <c r="A4" s="35"/>
      <c r="B4" s="35"/>
      <c r="C4" s="35"/>
      <c r="D4" s="35"/>
      <c r="E4" s="35"/>
      <c r="F4" s="35"/>
      <c r="G4" s="35"/>
      <c r="H4" s="35"/>
      <c r="I4" s="35"/>
      <c r="J4" s="35"/>
      <c r="K4" s="35"/>
      <c r="L4" s="35"/>
    </row>
    <row r="5" spans="1:16" ht="18" customHeight="1" thickBot="1" x14ac:dyDescent="0.4">
      <c r="A5" s="11" t="s">
        <v>231</v>
      </c>
      <c r="D5" s="11" t="s">
        <v>230</v>
      </c>
      <c r="G5" s="11" t="s">
        <v>229</v>
      </c>
      <c r="K5" s="11" t="s">
        <v>228</v>
      </c>
      <c r="O5" s="11" t="s">
        <v>79</v>
      </c>
    </row>
    <row r="6" spans="1:16" ht="21.75" customHeight="1" thickBot="1" x14ac:dyDescent="0.4">
      <c r="A6" s="38"/>
      <c r="B6" s="38"/>
      <c r="D6" s="38"/>
      <c r="E6" s="38"/>
      <c r="G6" s="38"/>
      <c r="H6" s="38"/>
      <c r="I6" s="38"/>
      <c r="K6" s="38"/>
      <c r="L6" s="38"/>
      <c r="M6" s="38"/>
      <c r="O6" s="38"/>
      <c r="P6" s="38"/>
    </row>
    <row r="7" spans="1:16" ht="25.5" customHeight="1" x14ac:dyDescent="0.35">
      <c r="A7" s="43" t="s">
        <v>227</v>
      </c>
      <c r="B7" s="43"/>
      <c r="C7" s="43"/>
      <c r="D7" s="43"/>
      <c r="E7" s="43"/>
      <c r="F7" s="43"/>
      <c r="G7" s="43"/>
      <c r="H7" s="43"/>
      <c r="I7" s="43"/>
      <c r="J7" s="43"/>
      <c r="K7" s="43"/>
      <c r="L7" s="43"/>
    </row>
    <row r="8" spans="1:16" ht="6" customHeight="1" x14ac:dyDescent="0.35">
      <c r="A8" s="35"/>
      <c r="B8" s="35"/>
      <c r="C8" s="35"/>
      <c r="D8" s="35"/>
      <c r="E8" s="35"/>
      <c r="F8" s="35"/>
      <c r="G8" s="35"/>
      <c r="H8" s="35"/>
      <c r="I8" s="35"/>
      <c r="J8" s="35"/>
      <c r="K8" s="35"/>
      <c r="L8" s="35"/>
    </row>
    <row r="9" spans="1:16" ht="48" customHeight="1" x14ac:dyDescent="0.35">
      <c r="A9" s="48" t="s">
        <v>457</v>
      </c>
      <c r="B9" s="48"/>
      <c r="C9" s="48"/>
      <c r="D9" s="48"/>
      <c r="E9" s="48"/>
      <c r="F9" s="48"/>
      <c r="G9" s="48"/>
      <c r="H9" s="48"/>
      <c r="I9" s="48"/>
      <c r="J9" s="48"/>
      <c r="K9" s="48"/>
      <c r="L9" s="48"/>
    </row>
    <row r="10" spans="1:16" ht="19.5" customHeight="1" x14ac:dyDescent="0.35">
      <c r="A10" s="47" t="s">
        <v>456</v>
      </c>
      <c r="B10" s="47"/>
      <c r="C10" s="47"/>
      <c r="D10" s="47"/>
      <c r="E10" s="47"/>
      <c r="F10" s="47"/>
      <c r="G10" s="47"/>
      <c r="H10" s="47"/>
      <c r="I10" s="47"/>
      <c r="J10" s="47"/>
      <c r="K10" s="47"/>
      <c r="L10" s="47"/>
    </row>
    <row r="11" spans="1:16" ht="43.5" customHeight="1" x14ac:dyDescent="0.35">
      <c r="A11" s="24" t="s">
        <v>455</v>
      </c>
      <c r="B11" s="24" t="s">
        <v>454</v>
      </c>
      <c r="C11" s="24" t="s">
        <v>453</v>
      </c>
      <c r="D11" s="24" t="s">
        <v>452</v>
      </c>
      <c r="E11" s="24" t="s">
        <v>451</v>
      </c>
      <c r="F11" s="24" t="s">
        <v>450</v>
      </c>
      <c r="G11" s="24" t="s">
        <v>449</v>
      </c>
      <c r="H11" s="24" t="s">
        <v>448</v>
      </c>
      <c r="I11" s="24" t="s">
        <v>447</v>
      </c>
    </row>
    <row r="12" spans="1:16" ht="18" customHeight="1" x14ac:dyDescent="0.35">
      <c r="A12" s="50" t="s">
        <v>446</v>
      </c>
      <c r="B12" s="50"/>
      <c r="C12" s="50"/>
      <c r="D12" s="50"/>
      <c r="E12" s="50"/>
      <c r="F12" s="50"/>
      <c r="G12" s="50"/>
      <c r="H12" s="50"/>
      <c r="I12" s="50"/>
      <c r="J12" s="50"/>
      <c r="K12" s="50"/>
      <c r="L12" s="50"/>
    </row>
    <row r="13" spans="1:16" ht="21.75" customHeight="1" x14ac:dyDescent="0.35">
      <c r="A13" s="3" t="s">
        <v>445</v>
      </c>
      <c r="B13" s="6"/>
      <c r="C13" s="6"/>
      <c r="D13" s="6"/>
      <c r="E13" s="7" t="str">
        <f t="shared" ref="E13:E19" si="0">IF(COUNTA(B13:D13)&gt;0,ROUND((IF(ISNUMBER(B13),B13,0)+IF(ISNUMBER(C13),C13,0)+IF(ISNUMBER(D13),D13,0))/MAX(1,ISNUMBER(B13)+ISNUMBER(C13)+ISNUMBER(D13)),0),"")</f>
        <v/>
      </c>
      <c r="F13" s="14" t="str">
        <f t="shared" ref="F13:F19" si="1">IF(AND(B13&lt;&gt;"",D13&lt;&gt;"",D13&gt;0),(B13-D13)/D13,"")</f>
        <v/>
      </c>
      <c r="G13" s="12"/>
      <c r="H13" s="6"/>
      <c r="I13" s="46"/>
      <c r="J13" s="46"/>
      <c r="K13" s="46"/>
      <c r="L13" s="46"/>
    </row>
    <row r="14" spans="1:16" ht="21.75" customHeight="1" x14ac:dyDescent="0.35">
      <c r="A14" s="3" t="s">
        <v>444</v>
      </c>
      <c r="B14" s="6"/>
      <c r="C14" s="6"/>
      <c r="D14" s="6"/>
      <c r="E14" s="7" t="str">
        <f t="shared" si="0"/>
        <v/>
      </c>
      <c r="F14" s="14" t="str">
        <f t="shared" si="1"/>
        <v/>
      </c>
      <c r="G14" s="12"/>
      <c r="H14" s="6"/>
      <c r="I14" s="46"/>
      <c r="J14" s="46"/>
      <c r="K14" s="46"/>
      <c r="L14" s="46"/>
    </row>
    <row r="15" spans="1:16" ht="21.75" customHeight="1" x14ac:dyDescent="0.35">
      <c r="A15" s="3" t="s">
        <v>443</v>
      </c>
      <c r="B15" s="6"/>
      <c r="C15" s="6"/>
      <c r="D15" s="6"/>
      <c r="E15" s="7" t="str">
        <f t="shared" si="0"/>
        <v/>
      </c>
      <c r="F15" s="14" t="str">
        <f t="shared" si="1"/>
        <v/>
      </c>
      <c r="G15" s="12"/>
      <c r="H15" s="6"/>
      <c r="I15" s="46"/>
      <c r="J15" s="46"/>
      <c r="K15" s="46"/>
      <c r="L15" s="46"/>
    </row>
    <row r="16" spans="1:16" ht="21.75" customHeight="1" x14ac:dyDescent="0.35">
      <c r="A16" s="3" t="s">
        <v>442</v>
      </c>
      <c r="B16" s="6"/>
      <c r="C16" s="6"/>
      <c r="D16" s="6"/>
      <c r="E16" s="7" t="str">
        <f t="shared" si="0"/>
        <v/>
      </c>
      <c r="F16" s="14" t="str">
        <f t="shared" si="1"/>
        <v/>
      </c>
      <c r="G16" s="12"/>
      <c r="H16" s="6"/>
      <c r="I16" s="46"/>
      <c r="J16" s="46"/>
      <c r="K16" s="46"/>
      <c r="L16" s="46"/>
    </row>
    <row r="17" spans="1:12" ht="21.75" customHeight="1" x14ac:dyDescent="0.35">
      <c r="A17" s="3" t="s">
        <v>441</v>
      </c>
      <c r="B17" s="6"/>
      <c r="C17" s="6"/>
      <c r="D17" s="6"/>
      <c r="E17" s="7" t="str">
        <f t="shared" si="0"/>
        <v/>
      </c>
      <c r="F17" s="14" t="str">
        <f t="shared" si="1"/>
        <v/>
      </c>
      <c r="G17" s="12"/>
      <c r="H17" s="6"/>
      <c r="I17" s="46"/>
      <c r="J17" s="46"/>
      <c r="K17" s="46"/>
      <c r="L17" s="46"/>
    </row>
    <row r="18" spans="1:12" ht="21.75" customHeight="1" x14ac:dyDescent="0.35">
      <c r="A18" s="3" t="s">
        <v>440</v>
      </c>
      <c r="B18" s="6"/>
      <c r="C18" s="6"/>
      <c r="D18" s="6"/>
      <c r="E18" s="7" t="str">
        <f t="shared" si="0"/>
        <v/>
      </c>
      <c r="F18" s="14" t="str">
        <f t="shared" si="1"/>
        <v/>
      </c>
      <c r="G18" s="12"/>
      <c r="H18" s="6"/>
      <c r="I18" s="46"/>
      <c r="J18" s="46"/>
      <c r="K18" s="46"/>
      <c r="L18" s="46"/>
    </row>
    <row r="19" spans="1:12" ht="21.75" customHeight="1" x14ac:dyDescent="0.35">
      <c r="A19" s="3" t="s">
        <v>439</v>
      </c>
      <c r="B19" s="6"/>
      <c r="C19" s="6"/>
      <c r="D19" s="6"/>
      <c r="E19" s="7" t="str">
        <f t="shared" si="0"/>
        <v/>
      </c>
      <c r="F19" s="14" t="str">
        <f t="shared" si="1"/>
        <v/>
      </c>
      <c r="G19" s="12"/>
      <c r="H19" s="6"/>
      <c r="I19" s="46"/>
      <c r="J19" s="46"/>
      <c r="K19" s="46"/>
      <c r="L19" s="46"/>
    </row>
    <row r="20" spans="1:12" ht="18" customHeight="1" x14ac:dyDescent="0.35">
      <c r="A20" s="42" t="s">
        <v>438</v>
      </c>
      <c r="B20" s="42"/>
      <c r="C20" s="42"/>
      <c r="D20" s="42"/>
      <c r="E20" s="42"/>
      <c r="F20" s="42"/>
      <c r="G20" s="42"/>
      <c r="H20" s="42"/>
      <c r="I20" s="42"/>
      <c r="J20" s="42"/>
      <c r="K20" s="42"/>
      <c r="L20" s="42"/>
    </row>
    <row r="21" spans="1:12" ht="21.75" customHeight="1" x14ac:dyDescent="0.35">
      <c r="A21" s="3" t="s">
        <v>437</v>
      </c>
      <c r="B21" s="6"/>
      <c r="C21" s="6"/>
      <c r="D21" s="6"/>
      <c r="E21" s="7" t="str">
        <f>IF(COUNTA(B21:D21)&gt;0,ROUND((IF(ISNUMBER(B21),B21,0)+IF(ISNUMBER(C21),C21,0)+IF(ISNUMBER(D21),D21,0))/MAX(1,ISNUMBER(B21)+ISNUMBER(C21)+ISNUMBER(D21)),0),"")</f>
        <v/>
      </c>
      <c r="F21" s="14" t="str">
        <f>IF(AND(B21&lt;&gt;"",D21&lt;&gt;"",D21&gt;0),(B21-D21)/D21,"")</f>
        <v/>
      </c>
      <c r="G21" s="12"/>
      <c r="H21" s="6"/>
      <c r="I21" s="46"/>
      <c r="J21" s="46"/>
      <c r="K21" s="46"/>
      <c r="L21" s="46"/>
    </row>
    <row r="22" spans="1:12" ht="21.75" customHeight="1" x14ac:dyDescent="0.35">
      <c r="A22" s="3" t="s">
        <v>436</v>
      </c>
      <c r="B22" s="6"/>
      <c r="C22" s="6"/>
      <c r="D22" s="6"/>
      <c r="E22" s="7" t="str">
        <f>IF(COUNTA(B22:D22)&gt;0,ROUND((IF(ISNUMBER(B22),B22,0)+IF(ISNUMBER(C22),C22,0)+IF(ISNUMBER(D22),D22,0))/MAX(1,ISNUMBER(B22)+ISNUMBER(C22)+ISNUMBER(D22)),0),"")</f>
        <v/>
      </c>
      <c r="F22" s="14" t="str">
        <f>IF(AND(B22&lt;&gt;"",D22&lt;&gt;"",D22&gt;0),(B22-D22)/D22,"")</f>
        <v/>
      </c>
      <c r="G22" s="12"/>
      <c r="H22" s="6"/>
      <c r="I22" s="46"/>
      <c r="J22" s="46"/>
      <c r="K22" s="46"/>
      <c r="L22" s="46"/>
    </row>
    <row r="23" spans="1:12" ht="21.75" customHeight="1" x14ac:dyDescent="0.35">
      <c r="A23" s="3" t="s">
        <v>435</v>
      </c>
      <c r="B23" s="6"/>
      <c r="C23" s="6"/>
      <c r="D23" s="6"/>
      <c r="E23" s="7" t="str">
        <f>IF(COUNTA(B23:D23)&gt;0,ROUND((IF(ISNUMBER(B23),B23,0)+IF(ISNUMBER(C23),C23,0)+IF(ISNUMBER(D23),D23,0))/MAX(1,ISNUMBER(B23)+ISNUMBER(C23)+ISNUMBER(D23)),0),"")</f>
        <v/>
      </c>
      <c r="F23" s="14" t="str">
        <f>IF(AND(B23&lt;&gt;"",D23&lt;&gt;"",D23&gt;0),(B23-D23)/D23,"")</f>
        <v/>
      </c>
      <c r="G23" s="12"/>
      <c r="H23" s="6"/>
      <c r="I23" s="46"/>
      <c r="J23" s="46"/>
      <c r="K23" s="46"/>
      <c r="L23" s="46"/>
    </row>
    <row r="24" spans="1:12" ht="21.75" customHeight="1" x14ac:dyDescent="0.35">
      <c r="A24" s="3" t="s">
        <v>434</v>
      </c>
      <c r="B24" s="6"/>
      <c r="C24" s="6"/>
      <c r="D24" s="6"/>
      <c r="E24" s="7" t="str">
        <f>IF(COUNTA(B24:D24)&gt;0,ROUND((IF(ISNUMBER(B24),B24,0)+IF(ISNUMBER(C24),C24,0)+IF(ISNUMBER(D24),D24,0))/MAX(1,ISNUMBER(B24)+ISNUMBER(C24)+ISNUMBER(D24)),0),"")</f>
        <v/>
      </c>
      <c r="F24" s="14" t="str">
        <f>IF(AND(B24&lt;&gt;"",D24&lt;&gt;"",D24&gt;0),(B24-D24)/D24,"")</f>
        <v/>
      </c>
      <c r="G24" s="12"/>
      <c r="H24" s="6"/>
      <c r="I24" s="46"/>
      <c r="J24" s="46"/>
      <c r="K24" s="46"/>
      <c r="L24" s="46"/>
    </row>
    <row r="25" spans="1:12" ht="18" customHeight="1" x14ac:dyDescent="0.35">
      <c r="A25" s="42" t="s">
        <v>433</v>
      </c>
      <c r="B25" s="42"/>
      <c r="C25" s="42"/>
      <c r="D25" s="42"/>
      <c r="E25" s="42"/>
      <c r="F25" s="42"/>
      <c r="G25" s="42"/>
      <c r="H25" s="42"/>
      <c r="I25" s="42"/>
      <c r="J25" s="42"/>
      <c r="K25" s="42"/>
      <c r="L25" s="42"/>
    </row>
    <row r="26" spans="1:12" ht="21.75" customHeight="1" x14ac:dyDescent="0.35">
      <c r="A26" s="3" t="s">
        <v>432</v>
      </c>
      <c r="B26" s="6"/>
      <c r="C26" s="6"/>
      <c r="D26" s="6"/>
      <c r="E26" s="7" t="str">
        <f>IF(COUNTA(B26:D26)&gt;0,ROUND((IF(ISNUMBER(B26),B26,0)+IF(ISNUMBER(C26),C26,0)+IF(ISNUMBER(D26),D26,0))/MAX(1,ISNUMBER(B26)+ISNUMBER(C26)+ISNUMBER(D26)),0),"")</f>
        <v/>
      </c>
      <c r="F26" s="14" t="str">
        <f>IF(AND(B26&lt;&gt;"",D26&lt;&gt;"",D26&gt;0),(B26-D26)/D26,"")</f>
        <v/>
      </c>
      <c r="G26" s="12"/>
      <c r="H26" s="6"/>
      <c r="I26" s="46"/>
      <c r="J26" s="46"/>
      <c r="K26" s="46"/>
      <c r="L26" s="46"/>
    </row>
    <row r="27" spans="1:12" ht="21.75" customHeight="1" x14ac:dyDescent="0.35">
      <c r="A27" s="3" t="s">
        <v>431</v>
      </c>
      <c r="B27" s="6"/>
      <c r="C27" s="6"/>
      <c r="D27" s="6"/>
      <c r="E27" s="7" t="str">
        <f>IF(COUNTA(B27:D27)&gt;0,ROUND((IF(ISNUMBER(B27),B27,0)+IF(ISNUMBER(C27),C27,0)+IF(ISNUMBER(D27),D27,0))/MAX(1,ISNUMBER(B27)+ISNUMBER(C27)+ISNUMBER(D27)),0),"")</f>
        <v/>
      </c>
      <c r="F27" s="14" t="str">
        <f>IF(AND(B27&lt;&gt;"",D27&lt;&gt;"",D27&gt;0),(B27-D27)/D27,"")</f>
        <v/>
      </c>
      <c r="G27" s="12"/>
      <c r="H27" s="6"/>
      <c r="I27" s="46"/>
      <c r="J27" s="46"/>
      <c r="K27" s="46"/>
      <c r="L27" s="46"/>
    </row>
    <row r="28" spans="1:12" ht="18" customHeight="1" x14ac:dyDescent="0.35">
      <c r="A28" s="42" t="s">
        <v>430</v>
      </c>
      <c r="B28" s="42"/>
      <c r="C28" s="42"/>
      <c r="D28" s="42"/>
      <c r="E28" s="42"/>
      <c r="F28" s="42"/>
      <c r="G28" s="42"/>
      <c r="H28" s="42"/>
      <c r="I28" s="42"/>
      <c r="J28" s="42"/>
      <c r="K28" s="42"/>
      <c r="L28" s="42"/>
    </row>
    <row r="29" spans="1:12" ht="21.75" customHeight="1" x14ac:dyDescent="0.35">
      <c r="A29" s="3" t="s">
        <v>429</v>
      </c>
      <c r="B29" s="6"/>
      <c r="C29" s="6"/>
      <c r="D29" s="6"/>
      <c r="E29" s="7" t="str">
        <f>IF(COUNTA(B29:D29)&gt;0,ROUND((IF(ISNUMBER(B29),B29,0)+IF(ISNUMBER(C29),C29,0)+IF(ISNUMBER(D29),D29,0))/MAX(1,ISNUMBER(B29)+ISNUMBER(C29)+ISNUMBER(D29)),0),"")</f>
        <v/>
      </c>
      <c r="F29" s="14" t="str">
        <f>IF(AND(B29&lt;&gt;"",D29&lt;&gt;"",D29&gt;0),(B29-D29)/D29,"")</f>
        <v/>
      </c>
      <c r="G29" s="12"/>
      <c r="H29" s="6"/>
      <c r="I29" s="46"/>
      <c r="J29" s="46"/>
      <c r="K29" s="46"/>
      <c r="L29" s="46"/>
    </row>
    <row r="30" spans="1:12" ht="21.75" customHeight="1" x14ac:dyDescent="0.35">
      <c r="A30" s="3" t="s">
        <v>428</v>
      </c>
      <c r="B30" s="6"/>
      <c r="C30" s="6"/>
      <c r="D30" s="6"/>
      <c r="E30" s="7" t="str">
        <f>IF(COUNTA(B30:D30)&gt;0,ROUND((IF(ISNUMBER(B30),B30,0)+IF(ISNUMBER(C30),C30,0)+IF(ISNUMBER(D30),D30,0))/MAX(1,ISNUMBER(B30)+ISNUMBER(C30)+ISNUMBER(D30)),0),"")</f>
        <v/>
      </c>
      <c r="F30" s="14" t="str">
        <f>IF(AND(B30&lt;&gt;"",D30&lt;&gt;"",D30&gt;0),(B30-D30)/D30,"")</f>
        <v/>
      </c>
      <c r="G30" s="12"/>
      <c r="H30" s="6"/>
      <c r="I30" s="46"/>
      <c r="J30" s="46"/>
      <c r="K30" s="46"/>
      <c r="L30" s="46"/>
    </row>
    <row r="31" spans="1:12" ht="21.75" customHeight="1" x14ac:dyDescent="0.35">
      <c r="A31" s="3" t="s">
        <v>427</v>
      </c>
      <c r="B31" s="6"/>
      <c r="C31" s="6"/>
      <c r="D31" s="6"/>
      <c r="E31" s="7" t="str">
        <f>IF(COUNTA(B31:D31)&gt;0,ROUND((IF(ISNUMBER(B31),B31,0)+IF(ISNUMBER(C31),C31,0)+IF(ISNUMBER(D31),D31,0))/MAX(1,ISNUMBER(B31)+ISNUMBER(C31)+ISNUMBER(D31)),0),"")</f>
        <v/>
      </c>
      <c r="F31" s="14" t="str">
        <f>IF(AND(B31&lt;&gt;"",D31&lt;&gt;"",D31&gt;0),(B31-D31)/D31,"")</f>
        <v/>
      </c>
      <c r="G31" s="12"/>
      <c r="H31" s="6"/>
      <c r="I31" s="46"/>
      <c r="J31" s="46"/>
      <c r="K31" s="46"/>
      <c r="L31" s="46"/>
    </row>
    <row r="32" spans="1:12" ht="21.75" customHeight="1" x14ac:dyDescent="0.35">
      <c r="A32" s="3" t="s">
        <v>426</v>
      </c>
      <c r="B32" s="6"/>
      <c r="C32" s="6"/>
      <c r="D32" s="6"/>
      <c r="E32" s="7" t="str">
        <f>IF(COUNTA(B32:D32)&gt;0,ROUND((IF(ISNUMBER(B32),B32,0)+IF(ISNUMBER(C32),C32,0)+IF(ISNUMBER(D32),D32,0))/MAX(1,ISNUMBER(B32)+ISNUMBER(C32)+ISNUMBER(D32)),0),"")</f>
        <v/>
      </c>
      <c r="F32" s="14" t="str">
        <f>IF(AND(B32&lt;&gt;"",D32&lt;&gt;"",D32&gt;0),(B32-D32)/D32,"")</f>
        <v/>
      </c>
      <c r="G32" s="12"/>
      <c r="H32" s="6"/>
      <c r="I32" s="46"/>
      <c r="J32" s="46"/>
      <c r="K32" s="46"/>
      <c r="L32" s="46"/>
    </row>
    <row r="33" spans="1:12" ht="18" customHeight="1" x14ac:dyDescent="0.35">
      <c r="A33" s="42" t="s">
        <v>425</v>
      </c>
      <c r="B33" s="42"/>
      <c r="C33" s="42"/>
      <c r="D33" s="42"/>
      <c r="E33" s="42"/>
      <c r="F33" s="42"/>
      <c r="G33" s="42"/>
      <c r="H33" s="42"/>
      <c r="I33" s="42"/>
      <c r="J33" s="42"/>
      <c r="K33" s="42"/>
      <c r="L33" s="42"/>
    </row>
    <row r="34" spans="1:12" ht="21.75" customHeight="1" x14ac:dyDescent="0.35">
      <c r="A34" s="3" t="s">
        <v>424</v>
      </c>
      <c r="B34" s="6"/>
      <c r="C34" s="6"/>
      <c r="D34" s="6"/>
      <c r="E34" s="7" t="str">
        <f>IF(COUNTA(B34:D34)&gt;0,ROUND((IF(ISNUMBER(B34),B34,0)+IF(ISNUMBER(C34),C34,0)+IF(ISNUMBER(D34),D34,0))/MAX(1,ISNUMBER(B34)+ISNUMBER(C34)+ISNUMBER(D34)),0),"")</f>
        <v/>
      </c>
      <c r="F34" s="14" t="str">
        <f>IF(AND(B34&lt;&gt;"",D34&lt;&gt;"",D34&gt;0),(B34-D34)/D34,"")</f>
        <v/>
      </c>
      <c r="G34" s="12"/>
      <c r="H34" s="6"/>
      <c r="I34" s="46"/>
      <c r="J34" s="46"/>
      <c r="K34" s="46"/>
      <c r="L34" s="46"/>
    </row>
    <row r="35" spans="1:12" ht="21.75" customHeight="1" x14ac:dyDescent="0.35">
      <c r="A35" s="4" t="s">
        <v>423</v>
      </c>
      <c r="B35" s="2">
        <f>IF(ISNUMBER(B13),B13,0)+IF(ISNUMBER(B21),B21,0)+IF(ISNUMBER(B26),B26,0)+IF(ISNUMBER(B27),B27,0)+IF(ISNUMBER(B29),B29,0)+IF(ISNUMBER(B34),B34,0)</f>
        <v>0</v>
      </c>
      <c r="C35" s="2">
        <f>IF(ISNUMBER(C13),C13,0)+IF(ISNUMBER(C21),C21,0)+IF(ISNUMBER(C26),C26,0)+IF(ISNUMBER(C27),C27,0)+IF(ISNUMBER(C29),C29,0)+IF(ISNUMBER(C34),C34,0)</f>
        <v>0</v>
      </c>
      <c r="D35" s="2">
        <f>IF(ISNUMBER(D13),D13,0)+IF(ISNUMBER(D21),D21,0)+IF(ISNUMBER(D26),D26,0)+IF(ISNUMBER(D27),D27,0)+IF(ISNUMBER(D29),D29,0)+IF(ISNUMBER(D34),D34,0)</f>
        <v>0</v>
      </c>
      <c r="E35" s="2">
        <f>IF(COUNTA(B35:D35)&gt;0,ROUND((IF(ISNUMBER(B35),B35,0)+IF(ISNUMBER(C35),C35,0)+IF(ISNUMBER(D35),D35,0))/MAX(1,ISNUMBER(B35)+ISNUMBER(C35)+ISNUMBER(D35)),0),"")</f>
        <v>0</v>
      </c>
      <c r="F35" s="26" t="str">
        <f>IF(AND(B35&lt;&gt;"",D35&lt;&gt;"",D35&gt;0),(B35-D35)/D35,"")</f>
        <v/>
      </c>
      <c r="G35" s="17"/>
      <c r="H35" s="17"/>
      <c r="I35" s="17"/>
      <c r="J35" s="17"/>
      <c r="K35" s="17"/>
      <c r="L35" s="17"/>
    </row>
    <row r="37" spans="1:12" ht="19.5" customHeight="1" x14ac:dyDescent="0.35">
      <c r="A37" s="47" t="s">
        <v>422</v>
      </c>
      <c r="B37" s="47"/>
      <c r="C37" s="47"/>
      <c r="D37" s="47"/>
      <c r="E37" s="47"/>
      <c r="F37" s="47"/>
      <c r="G37" s="47"/>
      <c r="H37" s="47"/>
      <c r="I37" s="47"/>
      <c r="J37" s="47"/>
      <c r="K37" s="47"/>
      <c r="L37" s="47"/>
    </row>
    <row r="38" spans="1:12" ht="27.75" customHeight="1" x14ac:dyDescent="0.35">
      <c r="A38" s="44" t="s">
        <v>421</v>
      </c>
      <c r="B38" s="44"/>
      <c r="C38" s="44"/>
      <c r="D38" s="44"/>
      <c r="E38" s="44"/>
      <c r="F38" s="44"/>
      <c r="G38" s="44"/>
      <c r="H38" s="44"/>
      <c r="I38" s="44"/>
      <c r="J38" s="44"/>
      <c r="K38" s="44"/>
      <c r="L38" s="44"/>
    </row>
    <row r="39" spans="1:12" ht="39.75" customHeight="1" x14ac:dyDescent="0.35">
      <c r="A39" s="13" t="s">
        <v>420</v>
      </c>
      <c r="B39" s="13" t="s">
        <v>419</v>
      </c>
      <c r="C39" s="13" t="s">
        <v>418</v>
      </c>
      <c r="D39" s="13" t="s">
        <v>417</v>
      </c>
      <c r="E39" s="13" t="s">
        <v>416</v>
      </c>
      <c r="F39" s="13" t="s">
        <v>415</v>
      </c>
      <c r="G39" s="13" t="s">
        <v>235</v>
      </c>
    </row>
    <row r="40" spans="1:12" ht="19.5" customHeight="1" x14ac:dyDescent="0.35">
      <c r="A40" s="15" t="s">
        <v>414</v>
      </c>
      <c r="B40" s="25" t="s">
        <v>413</v>
      </c>
      <c r="C40" s="6"/>
      <c r="D40" s="6"/>
      <c r="E40" s="12"/>
      <c r="F40" s="12"/>
      <c r="G40" s="12"/>
    </row>
    <row r="41" spans="1:12" ht="19.5" customHeight="1" x14ac:dyDescent="0.35">
      <c r="A41" s="15" t="s">
        <v>412</v>
      </c>
      <c r="B41" s="25" t="s">
        <v>411</v>
      </c>
      <c r="C41" s="6"/>
      <c r="D41" s="6"/>
      <c r="E41" s="12"/>
      <c r="F41" s="12"/>
      <c r="G41" s="12"/>
    </row>
    <row r="42" spans="1:12" ht="19.5" customHeight="1" x14ac:dyDescent="0.35">
      <c r="A42" s="15" t="s">
        <v>410</v>
      </c>
      <c r="B42" s="25" t="s">
        <v>409</v>
      </c>
      <c r="C42" s="6"/>
      <c r="D42" s="6"/>
      <c r="E42" s="12"/>
      <c r="F42" s="12"/>
      <c r="G42" s="12"/>
    </row>
    <row r="43" spans="1:12" ht="19.5" customHeight="1" x14ac:dyDescent="0.35">
      <c r="A43" s="15" t="s">
        <v>408</v>
      </c>
      <c r="B43" s="25" t="s">
        <v>407</v>
      </c>
      <c r="C43" s="6"/>
      <c r="D43" s="6"/>
      <c r="E43" s="12"/>
      <c r="F43" s="12"/>
      <c r="G43" s="12"/>
    </row>
    <row r="44" spans="1:12" ht="19.5" customHeight="1" x14ac:dyDescent="0.35">
      <c r="A44" s="15" t="s">
        <v>406</v>
      </c>
      <c r="B44" s="25" t="s">
        <v>405</v>
      </c>
      <c r="C44" s="6"/>
      <c r="D44" s="6"/>
      <c r="E44" s="12"/>
      <c r="F44" s="12"/>
      <c r="G44" s="12"/>
    </row>
    <row r="45" spans="1:12" ht="19.5" customHeight="1" x14ac:dyDescent="0.35">
      <c r="A45" s="15" t="s">
        <v>404</v>
      </c>
      <c r="B45" s="25" t="s">
        <v>403</v>
      </c>
      <c r="C45" s="6"/>
      <c r="D45" s="6"/>
      <c r="E45" s="12"/>
      <c r="F45" s="12"/>
      <c r="G45" s="12"/>
    </row>
    <row r="46" spans="1:12" ht="19.5" customHeight="1" x14ac:dyDescent="0.35">
      <c r="A46" s="15" t="s">
        <v>402</v>
      </c>
      <c r="B46" s="25" t="s">
        <v>401</v>
      </c>
      <c r="C46" s="6"/>
      <c r="D46" s="6"/>
      <c r="E46" s="12"/>
      <c r="F46" s="12"/>
      <c r="G46" s="12"/>
    </row>
    <row r="47" spans="1:12" ht="19.5" customHeight="1" x14ac:dyDescent="0.35">
      <c r="A47" s="15" t="s">
        <v>400</v>
      </c>
      <c r="B47" s="25"/>
      <c r="C47" s="6"/>
      <c r="D47" s="6"/>
      <c r="E47" s="12"/>
      <c r="F47" s="12"/>
      <c r="G47" s="12"/>
    </row>
    <row r="48" spans="1:12" ht="19.5" customHeight="1" x14ac:dyDescent="0.35">
      <c r="A48" s="15" t="s">
        <v>399</v>
      </c>
      <c r="B48" s="25"/>
      <c r="C48" s="6"/>
      <c r="D48" s="6"/>
      <c r="E48" s="12"/>
      <c r="F48" s="12"/>
      <c r="G48" s="12"/>
    </row>
    <row r="49" spans="1:12" ht="19.5" customHeight="1" x14ac:dyDescent="0.35">
      <c r="A49" s="15" t="s">
        <v>398</v>
      </c>
      <c r="B49" s="25"/>
      <c r="C49" s="6"/>
      <c r="D49" s="6"/>
      <c r="E49" s="12"/>
      <c r="F49" s="12"/>
      <c r="G49" s="12"/>
    </row>
    <row r="51" spans="1:12" ht="19.5" customHeight="1" x14ac:dyDescent="0.35">
      <c r="A51" s="47" t="s">
        <v>397</v>
      </c>
      <c r="B51" s="47"/>
      <c r="C51" s="47"/>
      <c r="D51" s="47"/>
      <c r="E51" s="47"/>
      <c r="F51" s="47"/>
      <c r="G51" s="47"/>
      <c r="H51" s="47"/>
      <c r="I51" s="47"/>
      <c r="J51" s="47"/>
      <c r="K51" s="47"/>
      <c r="L51" s="47"/>
    </row>
    <row r="52" spans="1:12" ht="31.5" customHeight="1" x14ac:dyDescent="0.35">
      <c r="A52" s="24" t="s">
        <v>396</v>
      </c>
      <c r="B52" s="24" t="s">
        <v>395</v>
      </c>
      <c r="C52" s="24" t="s">
        <v>394</v>
      </c>
      <c r="D52" s="24" t="s">
        <v>393</v>
      </c>
      <c r="E52" s="24" t="s">
        <v>235</v>
      </c>
    </row>
    <row r="53" spans="1:12" ht="21.75" customHeight="1" x14ac:dyDescent="0.35">
      <c r="A53" s="3" t="s">
        <v>392</v>
      </c>
      <c r="B53" s="6"/>
      <c r="C53" s="51" t="s">
        <v>382</v>
      </c>
      <c r="D53" s="51"/>
      <c r="E53" s="12"/>
      <c r="F53" s="46"/>
      <c r="G53" s="46"/>
      <c r="H53" s="46"/>
      <c r="I53" s="46"/>
      <c r="J53" s="46"/>
      <c r="K53" s="46"/>
      <c r="L53" s="46"/>
    </row>
    <row r="54" spans="1:12" ht="21.75" customHeight="1" x14ac:dyDescent="0.35">
      <c r="A54" s="3" t="s">
        <v>391</v>
      </c>
      <c r="B54" s="6"/>
      <c r="C54" s="51" t="s">
        <v>382</v>
      </c>
      <c r="D54" s="51"/>
      <c r="E54" s="12"/>
      <c r="F54" s="46"/>
      <c r="G54" s="46"/>
      <c r="H54" s="46"/>
      <c r="I54" s="46"/>
      <c r="J54" s="46"/>
      <c r="K54" s="46"/>
      <c r="L54" s="46"/>
    </row>
    <row r="55" spans="1:12" ht="21.75" customHeight="1" x14ac:dyDescent="0.35">
      <c r="A55" s="3" t="s">
        <v>390</v>
      </c>
      <c r="B55" s="6"/>
      <c r="C55" s="51" t="s">
        <v>389</v>
      </c>
      <c r="D55" s="51"/>
      <c r="E55" s="12"/>
      <c r="F55" s="46"/>
      <c r="G55" s="46"/>
      <c r="H55" s="46"/>
      <c r="I55" s="46"/>
      <c r="J55" s="46"/>
      <c r="K55" s="46"/>
      <c r="L55" s="46"/>
    </row>
    <row r="56" spans="1:12" ht="21.75" customHeight="1" x14ac:dyDescent="0.35">
      <c r="A56" s="3" t="s">
        <v>388</v>
      </c>
      <c r="B56" s="6"/>
      <c r="C56" s="51" t="s">
        <v>380</v>
      </c>
      <c r="D56" s="51"/>
      <c r="E56" s="12"/>
      <c r="F56" s="46"/>
      <c r="G56" s="46"/>
      <c r="H56" s="46"/>
      <c r="I56" s="46"/>
      <c r="J56" s="46"/>
      <c r="K56" s="46"/>
      <c r="L56" s="46"/>
    </row>
    <row r="57" spans="1:12" ht="21.75" customHeight="1" x14ac:dyDescent="0.35">
      <c r="A57" s="3" t="s">
        <v>387</v>
      </c>
      <c r="B57" s="6"/>
      <c r="C57" s="51" t="s">
        <v>386</v>
      </c>
      <c r="D57" s="51"/>
      <c r="E57" s="12"/>
      <c r="F57" s="46"/>
      <c r="G57" s="46"/>
      <c r="H57" s="46"/>
      <c r="I57" s="46"/>
      <c r="J57" s="46"/>
      <c r="K57" s="46"/>
      <c r="L57" s="46"/>
    </row>
    <row r="58" spans="1:12" ht="21.75" customHeight="1" x14ac:dyDescent="0.35">
      <c r="A58" s="3" t="s">
        <v>385</v>
      </c>
      <c r="B58" s="6"/>
      <c r="C58" s="51" t="s">
        <v>382</v>
      </c>
      <c r="D58" s="51"/>
      <c r="E58" s="12"/>
      <c r="F58" s="46"/>
      <c r="G58" s="46"/>
      <c r="H58" s="46"/>
      <c r="I58" s="46"/>
      <c r="J58" s="46"/>
      <c r="K58" s="46"/>
      <c r="L58" s="46"/>
    </row>
    <row r="59" spans="1:12" ht="21.75" customHeight="1" x14ac:dyDescent="0.35">
      <c r="A59" s="3" t="s">
        <v>384</v>
      </c>
      <c r="B59" s="6"/>
      <c r="C59" s="51" t="s">
        <v>382</v>
      </c>
      <c r="D59" s="51"/>
      <c r="E59" s="12"/>
      <c r="F59" s="46"/>
      <c r="G59" s="46"/>
      <c r="H59" s="46"/>
      <c r="I59" s="46"/>
      <c r="J59" s="46"/>
      <c r="K59" s="46"/>
      <c r="L59" s="46"/>
    </row>
    <row r="60" spans="1:12" ht="21.75" customHeight="1" x14ac:dyDescent="0.35">
      <c r="A60" s="3" t="s">
        <v>383</v>
      </c>
      <c r="B60" s="6"/>
      <c r="C60" s="51" t="s">
        <v>382</v>
      </c>
      <c r="D60" s="51"/>
      <c r="E60" s="12"/>
      <c r="F60" s="46"/>
      <c r="G60" s="46"/>
      <c r="H60" s="46"/>
      <c r="I60" s="46"/>
      <c r="J60" s="46"/>
      <c r="K60" s="46"/>
      <c r="L60" s="46"/>
    </row>
    <row r="61" spans="1:12" ht="21.75" customHeight="1" x14ac:dyDescent="0.35">
      <c r="A61" s="3" t="s">
        <v>381</v>
      </c>
      <c r="B61" s="6"/>
      <c r="C61" s="51" t="s">
        <v>380</v>
      </c>
      <c r="D61" s="51"/>
      <c r="E61" s="12"/>
      <c r="F61" s="46"/>
      <c r="G61" s="46"/>
      <c r="H61" s="46"/>
      <c r="I61" s="46"/>
      <c r="J61" s="46"/>
      <c r="K61" s="46"/>
      <c r="L61" s="46"/>
    </row>
  </sheetData>
  <mergeCells count="57">
    <mergeCell ref="C61:D61"/>
    <mergeCell ref="F61:L61"/>
    <mergeCell ref="C58:D58"/>
    <mergeCell ref="F58:L58"/>
    <mergeCell ref="C59:D59"/>
    <mergeCell ref="F59:L59"/>
    <mergeCell ref="C60:D60"/>
    <mergeCell ref="F60:L60"/>
    <mergeCell ref="C55:D55"/>
    <mergeCell ref="F55:L55"/>
    <mergeCell ref="C56:D56"/>
    <mergeCell ref="F56:L56"/>
    <mergeCell ref="C57:D57"/>
    <mergeCell ref="F57:L57"/>
    <mergeCell ref="I32:L32"/>
    <mergeCell ref="A33:L33"/>
    <mergeCell ref="I34:L34"/>
    <mergeCell ref="A37:L37"/>
    <mergeCell ref="A38:L38"/>
    <mergeCell ref="A51:L51"/>
    <mergeCell ref="C53:D53"/>
    <mergeCell ref="F53:L53"/>
    <mergeCell ref="C54:D54"/>
    <mergeCell ref="F54:L54"/>
    <mergeCell ref="I22:L22"/>
    <mergeCell ref="I23:L23"/>
    <mergeCell ref="I24:L24"/>
    <mergeCell ref="A25:L25"/>
    <mergeCell ref="I26:L26"/>
    <mergeCell ref="I27:L27"/>
    <mergeCell ref="A28:L28"/>
    <mergeCell ref="I29:L29"/>
    <mergeCell ref="I30:L30"/>
    <mergeCell ref="I31:L31"/>
    <mergeCell ref="A12:L12"/>
    <mergeCell ref="I13:L13"/>
    <mergeCell ref="I14:L14"/>
    <mergeCell ref="I15:L15"/>
    <mergeCell ref="I16:L16"/>
    <mergeCell ref="I17:L17"/>
    <mergeCell ref="I18:L18"/>
    <mergeCell ref="I19:L19"/>
    <mergeCell ref="A20:L20"/>
    <mergeCell ref="I21:L21"/>
    <mergeCell ref="A8:L8"/>
    <mergeCell ref="A9:L9"/>
    <mergeCell ref="A10:L10"/>
    <mergeCell ref="A1:L1"/>
    <mergeCell ref="A2:L2"/>
    <mergeCell ref="A3:L3"/>
    <mergeCell ref="A4:L4"/>
    <mergeCell ref="A6:B6"/>
    <mergeCell ref="D6:E6"/>
    <mergeCell ref="G6:I6"/>
    <mergeCell ref="K6:M6"/>
    <mergeCell ref="O6:P6"/>
    <mergeCell ref="A7:L7"/>
  </mergeCells>
  <dataValidations count="1">
    <dataValidation type="list" allowBlank="1" sqref="H34 H29:H32 H26:H27 H21:H24 H13:H19" xr:uid="{00000000-0002-0000-0400-000000000000}">
      <formula1>"High,Medium,Low,Unknown"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55B86-A613-4EF5-B93A-A357407EAD65}">
  <dimension ref="A1:G31"/>
  <sheetViews>
    <sheetView showGridLines="0" zoomScaleNormal="100" workbookViewId="0">
      <pane xSplit="1" ySplit="4" topLeftCell="B5" activePane="bottomRight" state="frozen"/>
      <selection activeCell="B10" sqref="B10:B11"/>
      <selection pane="topRight" activeCell="B10" sqref="B10:B11"/>
      <selection pane="bottomLeft" activeCell="B10" sqref="B10:B11"/>
      <selection pane="bottomRight" activeCell="B7" sqref="B7"/>
    </sheetView>
  </sheetViews>
  <sheetFormatPr defaultColWidth="8.6328125" defaultRowHeight="14.5" x14ac:dyDescent="0.35"/>
  <cols>
    <col min="1" max="1" width="28" style="1" customWidth="1"/>
    <col min="2" max="2" width="44" style="1" customWidth="1"/>
    <col min="3" max="3" width="34" style="1" customWidth="1"/>
    <col min="4" max="4" width="30" style="1" customWidth="1"/>
    <col min="5" max="5" width="10" style="1" customWidth="1"/>
    <col min="6" max="6" width="18" style="1" customWidth="1"/>
    <col min="7" max="7" width="20" style="1" customWidth="1"/>
    <col min="8" max="16384" width="8.6328125" style="1"/>
  </cols>
  <sheetData>
    <row r="1" spans="1:7" ht="20" x14ac:dyDescent="0.35">
      <c r="A1" s="39" t="s">
        <v>555</v>
      </c>
      <c r="B1" s="39"/>
      <c r="C1" s="39"/>
      <c r="D1" s="39"/>
      <c r="E1" s="39"/>
      <c r="F1" s="39"/>
      <c r="G1" s="39"/>
    </row>
    <row r="2" spans="1:7" s="58" customFormat="1" ht="12" x14ac:dyDescent="0.3">
      <c r="A2" s="83" t="s">
        <v>554</v>
      </c>
      <c r="B2" s="83"/>
      <c r="C2" s="83"/>
      <c r="D2" s="83"/>
      <c r="E2" s="83"/>
      <c r="F2" s="83"/>
      <c r="G2" s="83"/>
    </row>
    <row r="3" spans="1:7" x14ac:dyDescent="0.35">
      <c r="A3" s="35"/>
      <c r="B3" s="35"/>
      <c r="C3" s="35"/>
      <c r="D3" s="35"/>
      <c r="E3" s="35"/>
      <c r="F3" s="35"/>
      <c r="G3" s="35"/>
    </row>
    <row r="4" spans="1:7" ht="26" x14ac:dyDescent="0.35">
      <c r="A4" s="32" t="s">
        <v>553</v>
      </c>
      <c r="B4" s="32" t="s">
        <v>552</v>
      </c>
      <c r="C4" s="32" t="s">
        <v>551</v>
      </c>
      <c r="D4" s="32" t="s">
        <v>550</v>
      </c>
      <c r="E4" s="32" t="s">
        <v>549</v>
      </c>
      <c r="F4" s="32" t="s">
        <v>548</v>
      </c>
      <c r="G4" s="32" t="s">
        <v>547</v>
      </c>
    </row>
    <row r="5" spans="1:7" x14ac:dyDescent="0.35">
      <c r="A5" s="53" t="s">
        <v>546</v>
      </c>
      <c r="B5" s="53"/>
      <c r="C5" s="53"/>
      <c r="D5" s="53"/>
      <c r="E5" s="53"/>
      <c r="F5" s="53"/>
      <c r="G5" s="53"/>
    </row>
    <row r="6" spans="1:7" ht="34.5" x14ac:dyDescent="0.35">
      <c r="A6" s="30" t="s">
        <v>545</v>
      </c>
      <c r="B6" s="29" t="s">
        <v>544</v>
      </c>
      <c r="C6" s="29" t="s">
        <v>543</v>
      </c>
      <c r="D6" s="29" t="s">
        <v>542</v>
      </c>
      <c r="E6" s="29" t="s">
        <v>461</v>
      </c>
      <c r="F6" s="29"/>
      <c r="G6" s="29" t="s">
        <v>536</v>
      </c>
    </row>
    <row r="7" spans="1:7" ht="69" x14ac:dyDescent="0.35">
      <c r="A7" s="28" t="s">
        <v>541</v>
      </c>
      <c r="B7" s="27" t="s">
        <v>540</v>
      </c>
      <c r="C7" s="27" t="s">
        <v>539</v>
      </c>
      <c r="D7" s="27" t="s">
        <v>538</v>
      </c>
      <c r="E7" s="27" t="s">
        <v>461</v>
      </c>
      <c r="F7" s="31" t="s">
        <v>537</v>
      </c>
      <c r="G7" s="27" t="s">
        <v>536</v>
      </c>
    </row>
    <row r="8" spans="1:7" x14ac:dyDescent="0.35">
      <c r="A8" s="53" t="s">
        <v>535</v>
      </c>
      <c r="B8" s="53"/>
      <c r="C8" s="53"/>
      <c r="D8" s="53"/>
      <c r="E8" s="53"/>
      <c r="F8" s="53"/>
      <c r="G8" s="53"/>
    </row>
    <row r="9" spans="1:7" ht="46" x14ac:dyDescent="0.35">
      <c r="A9" s="28" t="s">
        <v>534</v>
      </c>
      <c r="B9" s="27" t="s">
        <v>533</v>
      </c>
      <c r="C9" s="27" t="s">
        <v>532</v>
      </c>
      <c r="D9" s="27" t="s">
        <v>531</v>
      </c>
      <c r="E9" s="27" t="s">
        <v>461</v>
      </c>
      <c r="F9" s="31" t="s">
        <v>530</v>
      </c>
      <c r="G9" s="27" t="s">
        <v>524</v>
      </c>
    </row>
    <row r="10" spans="1:7" ht="57.5" x14ac:dyDescent="0.35">
      <c r="A10" s="30" t="s">
        <v>529</v>
      </c>
      <c r="B10" s="29" t="s">
        <v>528</v>
      </c>
      <c r="C10" s="29" t="s">
        <v>527</v>
      </c>
      <c r="D10" s="29" t="s">
        <v>526</v>
      </c>
      <c r="E10" s="29" t="s">
        <v>461</v>
      </c>
      <c r="F10" s="31" t="s">
        <v>525</v>
      </c>
      <c r="G10" s="29" t="s">
        <v>524</v>
      </c>
    </row>
    <row r="11" spans="1:7" x14ac:dyDescent="0.35">
      <c r="A11" s="53" t="s">
        <v>293</v>
      </c>
      <c r="B11" s="53"/>
      <c r="C11" s="53"/>
      <c r="D11" s="53"/>
      <c r="E11" s="53"/>
      <c r="F11" s="53"/>
      <c r="G11" s="53"/>
    </row>
    <row r="12" spans="1:7" ht="34.5" x14ac:dyDescent="0.35">
      <c r="A12" s="30" t="s">
        <v>517</v>
      </c>
      <c r="B12" s="29" t="s">
        <v>523</v>
      </c>
      <c r="C12" s="29" t="s">
        <v>522</v>
      </c>
      <c r="D12" s="29" t="s">
        <v>521</v>
      </c>
      <c r="E12" s="29" t="s">
        <v>461</v>
      </c>
      <c r="F12" s="29" t="s">
        <v>520</v>
      </c>
      <c r="G12" s="29" t="s">
        <v>460</v>
      </c>
    </row>
    <row r="13" spans="1:7" ht="34.5" x14ac:dyDescent="0.35">
      <c r="A13" s="28" t="s">
        <v>519</v>
      </c>
      <c r="B13" s="27" t="s">
        <v>518</v>
      </c>
      <c r="C13" s="27" t="s">
        <v>517</v>
      </c>
      <c r="D13" s="27" t="s">
        <v>516</v>
      </c>
      <c r="E13" s="27" t="s">
        <v>461</v>
      </c>
      <c r="F13" s="27"/>
      <c r="G13" s="27" t="s">
        <v>460</v>
      </c>
    </row>
    <row r="14" spans="1:7" ht="23" x14ac:dyDescent="0.35">
      <c r="A14" s="30" t="s">
        <v>515</v>
      </c>
      <c r="B14" s="29" t="s">
        <v>514</v>
      </c>
      <c r="C14" s="29" t="s">
        <v>513</v>
      </c>
      <c r="D14" s="29" t="s">
        <v>512</v>
      </c>
      <c r="E14" s="29" t="s">
        <v>461</v>
      </c>
      <c r="F14" s="29"/>
      <c r="G14" s="29" t="s">
        <v>460</v>
      </c>
    </row>
    <row r="15" spans="1:7" x14ac:dyDescent="0.35">
      <c r="A15" s="53" t="s">
        <v>289</v>
      </c>
      <c r="B15" s="53"/>
      <c r="C15" s="53"/>
      <c r="D15" s="53"/>
      <c r="E15" s="53"/>
      <c r="F15" s="53"/>
      <c r="G15" s="53"/>
    </row>
    <row r="16" spans="1:7" ht="23" x14ac:dyDescent="0.35">
      <c r="A16" s="30" t="s">
        <v>511</v>
      </c>
      <c r="B16" s="29" t="s">
        <v>510</v>
      </c>
      <c r="C16" s="29" t="s">
        <v>509</v>
      </c>
      <c r="D16" s="29" t="s">
        <v>508</v>
      </c>
      <c r="E16" s="29" t="s">
        <v>461</v>
      </c>
      <c r="F16" s="29"/>
      <c r="G16" s="29" t="s">
        <v>507</v>
      </c>
    </row>
    <row r="17" spans="1:7" x14ac:dyDescent="0.35">
      <c r="A17" s="53" t="s">
        <v>285</v>
      </c>
      <c r="B17" s="53"/>
      <c r="C17" s="53"/>
      <c r="D17" s="53"/>
      <c r="E17" s="53"/>
      <c r="F17" s="53"/>
      <c r="G17" s="53"/>
    </row>
    <row r="18" spans="1:7" ht="23" x14ac:dyDescent="0.35">
      <c r="A18" s="30" t="s">
        <v>499</v>
      </c>
      <c r="B18" s="29" t="s">
        <v>506</v>
      </c>
      <c r="C18" s="29" t="s">
        <v>505</v>
      </c>
      <c r="D18" s="29" t="s">
        <v>504</v>
      </c>
      <c r="E18" s="29" t="s">
        <v>461</v>
      </c>
      <c r="F18" s="31" t="s">
        <v>503</v>
      </c>
      <c r="G18" s="29" t="s">
        <v>502</v>
      </c>
    </row>
    <row r="19" spans="1:7" ht="34.5" x14ac:dyDescent="0.35">
      <c r="A19" s="28" t="s">
        <v>501</v>
      </c>
      <c r="B19" s="27" t="s">
        <v>500</v>
      </c>
      <c r="C19" s="27" t="s">
        <v>499</v>
      </c>
      <c r="D19" s="27" t="s">
        <v>498</v>
      </c>
      <c r="E19" s="27" t="s">
        <v>461</v>
      </c>
      <c r="F19" s="27" t="s">
        <v>480</v>
      </c>
      <c r="G19" s="27" t="s">
        <v>460</v>
      </c>
    </row>
    <row r="20" spans="1:7" x14ac:dyDescent="0.35">
      <c r="A20" s="53" t="s">
        <v>162</v>
      </c>
      <c r="B20" s="53"/>
      <c r="C20" s="53"/>
      <c r="D20" s="53"/>
      <c r="E20" s="53"/>
      <c r="F20" s="53"/>
      <c r="G20" s="53"/>
    </row>
    <row r="21" spans="1:7" ht="34.5" x14ac:dyDescent="0.35">
      <c r="A21" s="28" t="s">
        <v>497</v>
      </c>
      <c r="B21" s="27" t="s">
        <v>496</v>
      </c>
      <c r="C21" s="27" t="s">
        <v>495</v>
      </c>
      <c r="D21" s="27" t="s">
        <v>494</v>
      </c>
      <c r="E21" s="27" t="s">
        <v>461</v>
      </c>
      <c r="F21" s="27" t="s">
        <v>480</v>
      </c>
      <c r="G21" s="27" t="s">
        <v>460</v>
      </c>
    </row>
    <row r="22" spans="1:7" x14ac:dyDescent="0.35">
      <c r="A22" s="53" t="s">
        <v>493</v>
      </c>
      <c r="B22" s="53"/>
      <c r="C22" s="53"/>
      <c r="D22" s="53"/>
      <c r="E22" s="53"/>
      <c r="F22" s="53"/>
      <c r="G22" s="53"/>
    </row>
    <row r="23" spans="1:7" ht="34.5" x14ac:dyDescent="0.35">
      <c r="A23" s="28" t="s">
        <v>492</v>
      </c>
      <c r="B23" s="27" t="s">
        <v>491</v>
      </c>
      <c r="C23" s="27" t="s">
        <v>490</v>
      </c>
      <c r="D23" s="27" t="s">
        <v>489</v>
      </c>
      <c r="E23" s="27" t="s">
        <v>461</v>
      </c>
      <c r="F23" s="27" t="s">
        <v>480</v>
      </c>
      <c r="G23" s="27" t="s">
        <v>460</v>
      </c>
    </row>
    <row r="24" spans="1:7" x14ac:dyDescent="0.35">
      <c r="A24" s="53" t="s">
        <v>281</v>
      </c>
      <c r="B24" s="53"/>
      <c r="C24" s="53"/>
      <c r="D24" s="53"/>
      <c r="E24" s="53"/>
      <c r="F24" s="53"/>
      <c r="G24" s="53"/>
    </row>
    <row r="25" spans="1:7" ht="34.5" x14ac:dyDescent="0.35">
      <c r="A25" s="28" t="s">
        <v>488</v>
      </c>
      <c r="B25" s="27" t="s">
        <v>487</v>
      </c>
      <c r="C25" s="27" t="s">
        <v>486</v>
      </c>
      <c r="D25" s="27" t="s">
        <v>485</v>
      </c>
      <c r="E25" s="27" t="s">
        <v>461</v>
      </c>
      <c r="F25" s="27" t="s">
        <v>480</v>
      </c>
      <c r="G25" s="27" t="s">
        <v>460</v>
      </c>
    </row>
    <row r="26" spans="1:7" ht="34.5" x14ac:dyDescent="0.35">
      <c r="A26" s="30" t="s">
        <v>484</v>
      </c>
      <c r="B26" s="29" t="s">
        <v>483</v>
      </c>
      <c r="C26" s="29" t="s">
        <v>482</v>
      </c>
      <c r="D26" s="29" t="s">
        <v>481</v>
      </c>
      <c r="E26" s="29" t="s">
        <v>461</v>
      </c>
      <c r="F26" s="29" t="s">
        <v>480</v>
      </c>
      <c r="G26" s="29" t="s">
        <v>460</v>
      </c>
    </row>
    <row r="27" spans="1:7" ht="34.5" x14ac:dyDescent="0.35">
      <c r="A27" s="28" t="s">
        <v>479</v>
      </c>
      <c r="B27" s="27" t="s">
        <v>478</v>
      </c>
      <c r="C27" s="27" t="s">
        <v>477</v>
      </c>
      <c r="D27" s="27" t="s">
        <v>476</v>
      </c>
      <c r="E27" s="27" t="s">
        <v>461</v>
      </c>
      <c r="F27" s="31" t="s">
        <v>475</v>
      </c>
      <c r="G27" s="27" t="s">
        <v>460</v>
      </c>
    </row>
    <row r="28" spans="1:7" ht="23" x14ac:dyDescent="0.35">
      <c r="A28" s="30" t="s">
        <v>474</v>
      </c>
      <c r="B28" s="29" t="s">
        <v>473</v>
      </c>
      <c r="C28" s="29" t="s">
        <v>472</v>
      </c>
      <c r="D28" s="29" t="s">
        <v>471</v>
      </c>
      <c r="E28" s="29" t="s">
        <v>461</v>
      </c>
      <c r="F28" s="29"/>
      <c r="G28" s="29" t="s">
        <v>460</v>
      </c>
    </row>
    <row r="29" spans="1:7" x14ac:dyDescent="0.35">
      <c r="A29" s="53" t="s">
        <v>470</v>
      </c>
      <c r="B29" s="53"/>
      <c r="C29" s="53"/>
      <c r="D29" s="53"/>
      <c r="E29" s="53"/>
      <c r="F29" s="53"/>
      <c r="G29" s="53"/>
    </row>
    <row r="30" spans="1:7" ht="57.5" x14ac:dyDescent="0.35">
      <c r="A30" s="30" t="s">
        <v>469</v>
      </c>
      <c r="B30" s="29" t="s">
        <v>468</v>
      </c>
      <c r="C30" s="29" t="s">
        <v>467</v>
      </c>
      <c r="D30" s="29" t="s">
        <v>466</v>
      </c>
      <c r="E30" s="29" t="s">
        <v>461</v>
      </c>
      <c r="F30" s="29"/>
      <c r="G30" s="29" t="s">
        <v>460</v>
      </c>
    </row>
    <row r="31" spans="1:7" ht="46" x14ac:dyDescent="0.35">
      <c r="A31" s="28" t="s">
        <v>465</v>
      </c>
      <c r="B31" s="27" t="s">
        <v>464</v>
      </c>
      <c r="C31" s="27" t="s">
        <v>463</v>
      </c>
      <c r="D31" s="27" t="s">
        <v>462</v>
      </c>
      <c r="E31" s="27" t="s">
        <v>461</v>
      </c>
      <c r="F31" s="27"/>
      <c r="G31" s="27" t="s">
        <v>460</v>
      </c>
    </row>
  </sheetData>
  <mergeCells count="12">
    <mergeCell ref="A24:G24"/>
    <mergeCell ref="A29:G29"/>
    <mergeCell ref="A11:G11"/>
    <mergeCell ref="A15:G15"/>
    <mergeCell ref="A17:G17"/>
    <mergeCell ref="A20:G20"/>
    <mergeCell ref="A22:G22"/>
    <mergeCell ref="A1:G1"/>
    <mergeCell ref="A2:G2"/>
    <mergeCell ref="A3:G3"/>
    <mergeCell ref="A5:G5"/>
    <mergeCell ref="A8:G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B8C2-9B2E-430B-B061-BDCF776724E1}">
  <dimension ref="A1:G33"/>
  <sheetViews>
    <sheetView showGridLines="0" zoomScaleNormal="100" workbookViewId="0">
      <pane xSplit="1" ySplit="4" topLeftCell="B30" activePane="bottomRight" state="frozen"/>
      <selection activeCell="B10" sqref="B10:B11"/>
      <selection pane="topRight" activeCell="B10" sqref="B10:B11"/>
      <selection pane="bottomLeft" activeCell="B10" sqref="B10:B11"/>
      <selection pane="bottomRight" activeCell="E40" sqref="E40"/>
    </sheetView>
  </sheetViews>
  <sheetFormatPr defaultColWidth="8.6328125" defaultRowHeight="14.5" x14ac:dyDescent="0.35"/>
  <cols>
    <col min="1" max="1" width="6" style="1" customWidth="1"/>
    <col min="2" max="2" width="58" style="1" customWidth="1"/>
    <col min="3" max="3" width="24" style="1" customWidth="1"/>
    <col min="4" max="4" width="16" style="1" customWidth="1"/>
    <col min="5" max="5" width="18" style="1" customWidth="1"/>
    <col min="6" max="6" width="16" style="1" customWidth="1"/>
    <col min="7" max="7" width="30" style="1" customWidth="1"/>
    <col min="8" max="16384" width="8.6328125" style="1"/>
  </cols>
  <sheetData>
    <row r="1" spans="1:7" ht="33.75" customHeight="1" x14ac:dyDescent="0.35">
      <c r="A1" s="56" t="s">
        <v>0</v>
      </c>
      <c r="B1" s="56"/>
      <c r="C1" s="56"/>
      <c r="D1" s="56"/>
      <c r="E1" s="56"/>
      <c r="F1" s="56"/>
      <c r="G1" s="56"/>
    </row>
    <row r="2" spans="1:7" ht="21.75" customHeight="1" x14ac:dyDescent="0.35">
      <c r="A2" s="52" t="s">
        <v>1</v>
      </c>
      <c r="B2" s="52"/>
      <c r="C2" s="52"/>
      <c r="D2" s="52"/>
      <c r="E2" s="52"/>
      <c r="F2" s="52"/>
      <c r="G2" s="52"/>
    </row>
    <row r="3" spans="1:7" ht="7.5" customHeight="1" x14ac:dyDescent="0.35">
      <c r="A3" s="35"/>
      <c r="B3" s="35"/>
      <c r="C3" s="35"/>
      <c r="D3" s="35"/>
      <c r="E3" s="35"/>
      <c r="F3" s="35"/>
      <c r="G3" s="35"/>
    </row>
    <row r="4" spans="1:7" ht="31.5" customHeight="1" x14ac:dyDescent="0.35">
      <c r="A4" s="34" t="s">
        <v>2</v>
      </c>
      <c r="B4" s="34" t="s">
        <v>3</v>
      </c>
      <c r="C4" s="34" t="s">
        <v>4</v>
      </c>
      <c r="D4" s="34" t="s">
        <v>5</v>
      </c>
      <c r="E4" s="34" t="s">
        <v>6</v>
      </c>
      <c r="F4" s="34" t="s">
        <v>7</v>
      </c>
      <c r="G4" s="34" t="s">
        <v>8</v>
      </c>
    </row>
    <row r="5" spans="1:7" ht="19.5" customHeight="1" x14ac:dyDescent="0.35">
      <c r="A5" s="54" t="s">
        <v>9</v>
      </c>
      <c r="B5" s="54"/>
      <c r="C5" s="54"/>
      <c r="D5" s="54"/>
      <c r="E5" s="54"/>
      <c r="F5" s="54"/>
      <c r="G5" s="54"/>
    </row>
    <row r="6" spans="1:7" ht="27.75" customHeight="1" x14ac:dyDescent="0.35">
      <c r="A6" s="2" t="s">
        <v>10</v>
      </c>
      <c r="B6" s="3" t="s">
        <v>11</v>
      </c>
      <c r="C6" s="23" t="s">
        <v>12</v>
      </c>
      <c r="D6" s="6" t="s">
        <v>13</v>
      </c>
      <c r="E6" s="12"/>
      <c r="F6" s="6"/>
      <c r="G6" s="5"/>
    </row>
    <row r="7" spans="1:7" ht="27.75" customHeight="1" x14ac:dyDescent="0.35">
      <c r="A7" s="2" t="s">
        <v>14</v>
      </c>
      <c r="B7" s="3" t="s">
        <v>15</v>
      </c>
      <c r="C7" s="23" t="s">
        <v>16</v>
      </c>
      <c r="D7" s="6" t="s">
        <v>13</v>
      </c>
      <c r="E7" s="12"/>
      <c r="F7" s="6"/>
      <c r="G7" s="5"/>
    </row>
    <row r="8" spans="1:7" ht="27.75" customHeight="1" x14ac:dyDescent="0.35">
      <c r="A8" s="2" t="s">
        <v>17</v>
      </c>
      <c r="B8" s="3" t="s">
        <v>18</v>
      </c>
      <c r="C8" s="23" t="s">
        <v>19</v>
      </c>
      <c r="D8" s="6" t="s">
        <v>13</v>
      </c>
      <c r="E8" s="12"/>
      <c r="F8" s="6"/>
      <c r="G8" s="5"/>
    </row>
    <row r="9" spans="1:7" ht="27.75" customHeight="1" x14ac:dyDescent="0.35">
      <c r="A9" s="2" t="s">
        <v>20</v>
      </c>
      <c r="B9" s="3" t="s">
        <v>21</v>
      </c>
      <c r="C9" s="23" t="s">
        <v>22</v>
      </c>
      <c r="D9" s="6" t="s">
        <v>13</v>
      </c>
      <c r="E9" s="12"/>
      <c r="F9" s="6"/>
      <c r="G9" s="5"/>
    </row>
    <row r="10" spans="1:7" ht="27.75" customHeight="1" x14ac:dyDescent="0.35">
      <c r="A10" s="2" t="s">
        <v>23</v>
      </c>
      <c r="B10" s="3" t="s">
        <v>24</v>
      </c>
      <c r="C10" s="23" t="s">
        <v>25</v>
      </c>
      <c r="D10" s="6" t="s">
        <v>13</v>
      </c>
      <c r="E10" s="12"/>
      <c r="F10" s="6"/>
      <c r="G10" s="5"/>
    </row>
    <row r="11" spans="1:7" ht="27.75" customHeight="1" x14ac:dyDescent="0.35">
      <c r="A11" s="2" t="s">
        <v>26</v>
      </c>
      <c r="B11" s="3" t="s">
        <v>27</v>
      </c>
      <c r="C11" s="23" t="s">
        <v>28</v>
      </c>
      <c r="D11" s="6" t="s">
        <v>13</v>
      </c>
      <c r="E11" s="12"/>
      <c r="F11" s="6"/>
      <c r="G11" s="5"/>
    </row>
    <row r="12" spans="1:7" ht="19.5" customHeight="1" x14ac:dyDescent="0.35">
      <c r="A12" s="54" t="s">
        <v>29</v>
      </c>
      <c r="B12" s="54"/>
      <c r="C12" s="54"/>
      <c r="D12" s="54"/>
      <c r="E12" s="54"/>
      <c r="F12" s="54"/>
      <c r="G12" s="54"/>
    </row>
    <row r="13" spans="1:7" ht="27.75" customHeight="1" x14ac:dyDescent="0.35">
      <c r="A13" s="2" t="s">
        <v>30</v>
      </c>
      <c r="B13" s="3" t="s">
        <v>31</v>
      </c>
      <c r="C13" s="23" t="s">
        <v>32</v>
      </c>
      <c r="D13" s="6" t="s">
        <v>13</v>
      </c>
      <c r="E13" s="12"/>
      <c r="F13" s="6"/>
      <c r="G13" s="5"/>
    </row>
    <row r="14" spans="1:7" ht="27.75" customHeight="1" x14ac:dyDescent="0.35">
      <c r="A14" s="2" t="s">
        <v>33</v>
      </c>
      <c r="B14" s="3" t="s">
        <v>34</v>
      </c>
      <c r="C14" s="23" t="s">
        <v>35</v>
      </c>
      <c r="D14" s="6" t="s">
        <v>13</v>
      </c>
      <c r="E14" s="12"/>
      <c r="F14" s="6"/>
      <c r="G14" s="5"/>
    </row>
    <row r="15" spans="1:7" ht="27.75" customHeight="1" x14ac:dyDescent="0.35">
      <c r="A15" s="2" t="s">
        <v>36</v>
      </c>
      <c r="B15" s="3" t="s">
        <v>37</v>
      </c>
      <c r="C15" s="23" t="s">
        <v>38</v>
      </c>
      <c r="D15" s="6" t="s">
        <v>13</v>
      </c>
      <c r="E15" s="12"/>
      <c r="F15" s="6"/>
      <c r="G15" s="5"/>
    </row>
    <row r="16" spans="1:7" ht="27.75" customHeight="1" x14ac:dyDescent="0.35">
      <c r="A16" s="2" t="s">
        <v>39</v>
      </c>
      <c r="B16" s="3" t="s">
        <v>40</v>
      </c>
      <c r="C16" s="23" t="s">
        <v>41</v>
      </c>
      <c r="D16" s="6" t="s">
        <v>13</v>
      </c>
      <c r="E16" s="12"/>
      <c r="F16" s="6"/>
      <c r="G16" s="5"/>
    </row>
    <row r="17" spans="1:7" ht="19.5" customHeight="1" x14ac:dyDescent="0.35">
      <c r="A17" s="54" t="s">
        <v>42</v>
      </c>
      <c r="B17" s="54"/>
      <c r="C17" s="54"/>
      <c r="D17" s="54"/>
      <c r="E17" s="54"/>
      <c r="F17" s="54"/>
      <c r="G17" s="54"/>
    </row>
    <row r="18" spans="1:7" ht="27.75" customHeight="1" x14ac:dyDescent="0.35">
      <c r="A18" s="2" t="s">
        <v>43</v>
      </c>
      <c r="B18" s="3" t="s">
        <v>44</v>
      </c>
      <c r="C18" s="23" t="s">
        <v>45</v>
      </c>
      <c r="D18" s="6" t="s">
        <v>13</v>
      </c>
      <c r="E18" s="12"/>
      <c r="F18" s="6"/>
      <c r="G18" s="5"/>
    </row>
    <row r="19" spans="1:7" ht="27.75" customHeight="1" x14ac:dyDescent="0.35">
      <c r="A19" s="2" t="s">
        <v>46</v>
      </c>
      <c r="B19" s="3" t="s">
        <v>47</v>
      </c>
      <c r="C19" s="23" t="s">
        <v>48</v>
      </c>
      <c r="D19" s="6" t="s">
        <v>13</v>
      </c>
      <c r="E19" s="12"/>
      <c r="F19" s="6"/>
      <c r="G19" s="5"/>
    </row>
    <row r="20" spans="1:7" ht="27.75" customHeight="1" x14ac:dyDescent="0.35">
      <c r="A20" s="2" t="s">
        <v>49</v>
      </c>
      <c r="B20" s="3" t="s">
        <v>50</v>
      </c>
      <c r="C20" s="23" t="s">
        <v>51</v>
      </c>
      <c r="D20" s="6" t="s">
        <v>13</v>
      </c>
      <c r="E20" s="12"/>
      <c r="F20" s="6"/>
      <c r="G20" s="5"/>
    </row>
    <row r="21" spans="1:7" ht="19.5" customHeight="1" x14ac:dyDescent="0.35">
      <c r="A21" s="54" t="s">
        <v>52</v>
      </c>
      <c r="B21" s="54"/>
      <c r="C21" s="54"/>
      <c r="D21" s="54"/>
      <c r="E21" s="54"/>
      <c r="F21" s="54"/>
      <c r="G21" s="54"/>
    </row>
    <row r="22" spans="1:7" ht="27.75" customHeight="1" x14ac:dyDescent="0.35">
      <c r="A22" s="2" t="s">
        <v>53</v>
      </c>
      <c r="B22" s="3" t="s">
        <v>54</v>
      </c>
      <c r="C22" s="23" t="s">
        <v>55</v>
      </c>
      <c r="D22" s="6" t="s">
        <v>13</v>
      </c>
      <c r="E22" s="12"/>
      <c r="F22" s="6"/>
      <c r="G22" s="5"/>
    </row>
    <row r="23" spans="1:7" ht="27.75" customHeight="1" x14ac:dyDescent="0.35">
      <c r="A23" s="2" t="s">
        <v>56</v>
      </c>
      <c r="B23" s="3" t="s">
        <v>57</v>
      </c>
      <c r="C23" s="23" t="s">
        <v>58</v>
      </c>
      <c r="D23" s="6" t="s">
        <v>13</v>
      </c>
      <c r="E23" s="12"/>
      <c r="F23" s="6"/>
      <c r="G23" s="5"/>
    </row>
    <row r="24" spans="1:7" ht="19.5" customHeight="1" x14ac:dyDescent="0.35">
      <c r="A24" s="54" t="s">
        <v>59</v>
      </c>
      <c r="B24" s="54"/>
      <c r="C24" s="54"/>
      <c r="D24" s="54"/>
      <c r="E24" s="54"/>
      <c r="F24" s="54"/>
      <c r="G24" s="54"/>
    </row>
    <row r="25" spans="1:7" ht="27.75" customHeight="1" x14ac:dyDescent="0.35">
      <c r="A25" s="2" t="s">
        <v>60</v>
      </c>
      <c r="B25" s="3" t="s">
        <v>61</v>
      </c>
      <c r="C25" s="23" t="s">
        <v>62</v>
      </c>
      <c r="D25" s="6" t="s">
        <v>13</v>
      </c>
      <c r="E25" s="12"/>
      <c r="F25" s="6"/>
      <c r="G25" s="5"/>
    </row>
    <row r="26" spans="1:7" ht="27.75" customHeight="1" x14ac:dyDescent="0.35">
      <c r="A26" s="2" t="s">
        <v>63</v>
      </c>
      <c r="B26" s="3" t="s">
        <v>64</v>
      </c>
      <c r="C26" s="23" t="s">
        <v>65</v>
      </c>
      <c r="D26" s="6" t="s">
        <v>13</v>
      </c>
      <c r="E26" s="12"/>
      <c r="F26" s="6"/>
      <c r="G26" s="5"/>
    </row>
    <row r="27" spans="1:7" ht="27.75" customHeight="1" x14ac:dyDescent="0.35">
      <c r="A27" s="2" t="s">
        <v>66</v>
      </c>
      <c r="B27" s="3" t="s">
        <v>67</v>
      </c>
      <c r="C27" s="23" t="s">
        <v>68</v>
      </c>
      <c r="D27" s="6" t="s">
        <v>13</v>
      </c>
      <c r="E27" s="12"/>
      <c r="F27" s="6"/>
      <c r="G27" s="5"/>
    </row>
    <row r="28" spans="1:7" ht="27.75" customHeight="1" x14ac:dyDescent="0.35">
      <c r="A28" s="2" t="s">
        <v>69</v>
      </c>
      <c r="B28" s="3" t="s">
        <v>70</v>
      </c>
      <c r="C28" s="23" t="s">
        <v>71</v>
      </c>
      <c r="D28" s="6" t="s">
        <v>13</v>
      </c>
      <c r="E28" s="12"/>
      <c r="F28" s="6"/>
      <c r="G28" s="5"/>
    </row>
    <row r="29" spans="1:7" ht="27.75" customHeight="1" x14ac:dyDescent="0.35">
      <c r="A29" s="2" t="s">
        <v>72</v>
      </c>
      <c r="B29" s="3" t="s">
        <v>73</v>
      </c>
      <c r="C29" s="23" t="s">
        <v>74</v>
      </c>
      <c r="D29" s="6" t="s">
        <v>13</v>
      </c>
      <c r="E29" s="12"/>
      <c r="F29" s="6"/>
      <c r="G29" s="5"/>
    </row>
    <row r="31" spans="1:7" ht="24" customHeight="1" x14ac:dyDescent="0.35">
      <c r="A31" s="55" t="s">
        <v>75</v>
      </c>
      <c r="B31" s="55"/>
      <c r="C31" s="55"/>
      <c r="D31" s="55"/>
      <c r="E31" s="55"/>
      <c r="F31" s="55"/>
      <c r="G31" s="55"/>
    </row>
    <row r="32" spans="1:7" ht="18" customHeight="1" thickBot="1" x14ac:dyDescent="0.4">
      <c r="A32" s="33" t="s">
        <v>76</v>
      </c>
      <c r="B32" s="33" t="s">
        <v>77</v>
      </c>
      <c r="C32" s="33" t="s">
        <v>78</v>
      </c>
      <c r="D32" s="33" t="s">
        <v>79</v>
      </c>
      <c r="E32" s="33" t="s">
        <v>80</v>
      </c>
    </row>
    <row r="33" spans="1:5" ht="24" customHeight="1" thickBot="1" x14ac:dyDescent="0.4">
      <c r="A33" s="10"/>
      <c r="B33" s="10"/>
      <c r="C33" s="10"/>
      <c r="D33" s="10"/>
      <c r="E33" s="10"/>
    </row>
  </sheetData>
  <mergeCells count="9">
    <mergeCell ref="A17:G17"/>
    <mergeCell ref="A21:G21"/>
    <mergeCell ref="A24:G24"/>
    <mergeCell ref="A31:G31"/>
    <mergeCell ref="A1:G1"/>
    <mergeCell ref="A2:G2"/>
    <mergeCell ref="A3:G3"/>
    <mergeCell ref="A5:G5"/>
    <mergeCell ref="A12:G12"/>
  </mergeCells>
  <dataValidations count="1">
    <dataValidation type="list" allowBlank="1" sqref="D6:D11 D13:D16 D18:D20 D22:D23 D25:D29" xr:uid="{00000000-0002-0000-0600-000000000000}">
      <formula1>"Done,Issue Found,N/A,In Progress,Not Started"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GUIDE</vt:lpstr>
      <vt:lpstr>T1_PHA_ESTABLISHMENT</vt:lpstr>
      <vt:lpstr>T2_TRAINING_SCHOOL</vt:lpstr>
      <vt:lpstr>T3_COUNCIL_REGISTER</vt:lpstr>
      <vt:lpstr>T4_FINANCE</vt:lpstr>
      <vt:lpstr>CADRE_MAPPING</vt:lpstr>
      <vt:lpstr>DATA_QUALITY_CHECKLIST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Billy Njoka</dc:creator>
  <cp:lastModifiedBy>Billy Njoka</cp:lastModifiedBy>
  <dcterms:created xsi:type="dcterms:W3CDTF">2026-05-22T20:45:47Z</dcterms:created>
  <dcterms:modified xsi:type="dcterms:W3CDTF">2026-05-22T20:53:53Z</dcterms:modified>
</cp:coreProperties>
</file>